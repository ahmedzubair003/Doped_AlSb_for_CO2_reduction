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2\EEE 400\Demonstration\All_Simulations\"/>
    </mc:Choice>
  </mc:AlternateContent>
  <xr:revisionPtr revIDLastSave="0" documentId="13_ncr:1_{110F0B73-2A24-434E-B4BB-637EA88F6D9B}" xr6:coauthVersionLast="36" xr6:coauthVersionMax="36" xr10:uidLastSave="{00000000-0000-0000-0000-000000000000}"/>
  <bookViews>
    <workbookView xWindow="0" yWindow="0" windowWidth="23040" windowHeight="8940" activeTab="1" xr2:uid="{F581531D-B10D-4068-9B54-CE82CB87D941}"/>
  </bookViews>
  <sheets>
    <sheet name="Fe doped" sheetId="1" r:id="rId1"/>
    <sheet name="Sheet2" sheetId="2" r:id="rId2"/>
    <sheet name="Co Doped" sheetId="3" r:id="rId3"/>
    <sheet name="Ni Doped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5" l="1"/>
  <c r="I50" i="5"/>
  <c r="I49" i="5"/>
  <c r="M48" i="5"/>
  <c r="I48" i="5"/>
  <c r="I47" i="5"/>
  <c r="I46" i="5"/>
  <c r="M44" i="5"/>
  <c r="I44" i="5"/>
  <c r="I43" i="5"/>
  <c r="M42" i="5"/>
  <c r="I42" i="5"/>
  <c r="I41" i="5"/>
  <c r="M40" i="5"/>
  <c r="I40" i="5"/>
  <c r="I39" i="5"/>
  <c r="I38" i="5"/>
  <c r="M38" i="5" s="1"/>
  <c r="I37" i="5"/>
  <c r="I36" i="5"/>
  <c r="M52" i="5" s="1"/>
  <c r="I35" i="5"/>
  <c r="M34" i="5"/>
  <c r="I34" i="5"/>
  <c r="M50" i="5" s="1"/>
  <c r="I33" i="5"/>
  <c r="I32" i="5"/>
  <c r="M32" i="5" s="1"/>
  <c r="I31" i="5"/>
  <c r="M30" i="5"/>
  <c r="I30" i="5"/>
  <c r="I29" i="5"/>
  <c r="I28" i="5"/>
  <c r="M28" i="5" s="1"/>
  <c r="I27" i="5"/>
  <c r="M26" i="5"/>
  <c r="I26" i="5"/>
  <c r="I25" i="5"/>
  <c r="I24" i="5"/>
  <c r="M24" i="5" s="1"/>
  <c r="I23" i="5"/>
  <c r="M22" i="5"/>
  <c r="I22" i="5"/>
  <c r="I21" i="5"/>
  <c r="M21" i="5" s="1"/>
  <c r="I20" i="5"/>
  <c r="M20" i="5" s="1"/>
  <c r="I19" i="5"/>
  <c r="M18" i="5"/>
  <c r="I17" i="5"/>
  <c r="M17" i="5" s="1"/>
  <c r="M16" i="5"/>
  <c r="I15" i="5"/>
  <c r="M14" i="5"/>
  <c r="I14" i="5"/>
  <c r="I13" i="5"/>
  <c r="I12" i="5"/>
  <c r="M12" i="5" s="1"/>
  <c r="I11" i="5"/>
  <c r="I10" i="5"/>
  <c r="I9" i="5"/>
  <c r="I8" i="5"/>
  <c r="I7" i="5"/>
  <c r="I6" i="5"/>
  <c r="I5" i="5"/>
  <c r="I4" i="5"/>
  <c r="I3" i="5"/>
  <c r="M47" i="5" l="1"/>
  <c r="M11" i="5"/>
  <c r="M39" i="5"/>
  <c r="M33" i="5"/>
  <c r="M5" i="5"/>
  <c r="M7" i="5"/>
  <c r="M15" i="5"/>
  <c r="M29" i="5"/>
  <c r="M9" i="5"/>
  <c r="M25" i="5"/>
  <c r="M43" i="5"/>
  <c r="M13" i="5"/>
  <c r="M27" i="5"/>
  <c r="M49" i="5"/>
  <c r="M19" i="5"/>
  <c r="M23" i="5"/>
  <c r="M31" i="5"/>
  <c r="M36" i="5"/>
  <c r="M46" i="5"/>
  <c r="M37" i="5"/>
  <c r="M52" i="3"/>
  <c r="I52" i="3"/>
  <c r="I50" i="3"/>
  <c r="M50" i="3" s="1"/>
  <c r="I49" i="3"/>
  <c r="M48" i="3"/>
  <c r="I48" i="3"/>
  <c r="M47" i="3"/>
  <c r="I47" i="3"/>
  <c r="I46" i="3"/>
  <c r="I44" i="3"/>
  <c r="M43" i="3"/>
  <c r="I43" i="3"/>
  <c r="I42" i="3"/>
  <c r="I41" i="3"/>
  <c r="I40" i="3"/>
  <c r="M39" i="3"/>
  <c r="I39" i="3"/>
  <c r="I38" i="3"/>
  <c r="M37" i="3"/>
  <c r="I37" i="3"/>
  <c r="I36" i="3"/>
  <c r="I35" i="3"/>
  <c r="I34" i="3"/>
  <c r="M34" i="3" s="1"/>
  <c r="I33" i="3"/>
  <c r="M33" i="3" s="1"/>
  <c r="I32" i="3"/>
  <c r="M32" i="3" s="1"/>
  <c r="I31" i="3"/>
  <c r="M31" i="3" s="1"/>
  <c r="I30" i="3"/>
  <c r="M30" i="3" s="1"/>
  <c r="I29" i="3"/>
  <c r="M29" i="3" s="1"/>
  <c r="I28" i="3"/>
  <c r="M28" i="3" s="1"/>
  <c r="I27" i="3"/>
  <c r="M27" i="3" s="1"/>
  <c r="I26" i="3"/>
  <c r="M26" i="3" s="1"/>
  <c r="I25" i="3"/>
  <c r="M25" i="3" s="1"/>
  <c r="I24" i="3"/>
  <c r="M24" i="3" s="1"/>
  <c r="I23" i="3"/>
  <c r="M23" i="3" s="1"/>
  <c r="I22" i="3"/>
  <c r="M22" i="3" s="1"/>
  <c r="I21" i="3"/>
  <c r="M21" i="3" s="1"/>
  <c r="I20" i="3"/>
  <c r="M20" i="3" s="1"/>
  <c r="I19" i="3"/>
  <c r="M19" i="3" s="1"/>
  <c r="M18" i="3"/>
  <c r="M17" i="3"/>
  <c r="I17" i="3"/>
  <c r="M16" i="3"/>
  <c r="I15" i="3"/>
  <c r="M15" i="3" s="1"/>
  <c r="I14" i="3"/>
  <c r="M14" i="3" s="1"/>
  <c r="M13" i="3"/>
  <c r="I13" i="3"/>
  <c r="I12" i="3"/>
  <c r="M12" i="3" s="1"/>
  <c r="I11" i="3"/>
  <c r="I10" i="3"/>
  <c r="I9" i="3"/>
  <c r="I8" i="3"/>
  <c r="I7" i="3"/>
  <c r="I6" i="3"/>
  <c r="I5" i="3"/>
  <c r="M5" i="3" s="1"/>
  <c r="I4" i="3"/>
  <c r="I3" i="3"/>
  <c r="M11" i="3" s="1"/>
  <c r="M38" i="3" l="1"/>
  <c r="M36" i="3"/>
  <c r="M40" i="3"/>
  <c r="M44" i="3"/>
  <c r="M7" i="3"/>
  <c r="M49" i="3"/>
  <c r="M46" i="3"/>
  <c r="M9" i="3"/>
  <c r="M42" i="3"/>
  <c r="M7" i="1"/>
  <c r="M49" i="1"/>
  <c r="M47" i="1"/>
  <c r="M45" i="1"/>
  <c r="M43" i="1"/>
  <c r="M41" i="1"/>
  <c r="M39" i="1"/>
  <c r="M37" i="1"/>
  <c r="M33" i="1"/>
  <c r="M31" i="1"/>
  <c r="M29" i="1"/>
  <c r="M27" i="1"/>
  <c r="M25" i="1"/>
  <c r="M23" i="1"/>
  <c r="M21" i="1"/>
  <c r="M19" i="1"/>
  <c r="M17" i="1"/>
  <c r="M15" i="1"/>
  <c r="M13" i="1"/>
  <c r="M12" i="1"/>
  <c r="M14" i="1"/>
  <c r="M16" i="1"/>
  <c r="M18" i="1"/>
  <c r="M20" i="1"/>
  <c r="M22" i="1"/>
  <c r="M24" i="1"/>
  <c r="M26" i="1"/>
  <c r="M28" i="1"/>
  <c r="M30" i="1"/>
  <c r="M32" i="1"/>
  <c r="M34" i="1"/>
  <c r="M36" i="1"/>
  <c r="M38" i="1"/>
  <c r="M40" i="1"/>
  <c r="M42" i="1"/>
  <c r="M44" i="1"/>
  <c r="M46" i="1"/>
  <c r="M48" i="1"/>
  <c r="M50" i="1"/>
  <c r="M51" i="1"/>
  <c r="M52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24" i="1"/>
  <c r="I25" i="1"/>
  <c r="I26" i="1"/>
  <c r="I27" i="1"/>
  <c r="I28" i="1"/>
  <c r="I29" i="1"/>
  <c r="I30" i="1"/>
  <c r="I31" i="1"/>
  <c r="I22" i="1"/>
  <c r="I23" i="1"/>
  <c r="I20" i="1"/>
  <c r="I21" i="1"/>
  <c r="I3" i="1"/>
  <c r="J21" i="2" l="1"/>
  <c r="J19" i="2"/>
  <c r="J17" i="2"/>
  <c r="J15" i="2"/>
  <c r="J13" i="2"/>
  <c r="J11" i="2"/>
  <c r="J9" i="2"/>
  <c r="J7" i="2"/>
  <c r="J5" i="2"/>
  <c r="H21" i="2"/>
  <c r="H19" i="2"/>
  <c r="H17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13" i="2"/>
  <c r="E12" i="2"/>
  <c r="E11" i="2"/>
  <c r="E10" i="2"/>
  <c r="E9" i="2"/>
  <c r="E8" i="2"/>
  <c r="E7" i="2"/>
  <c r="E6" i="2"/>
  <c r="E5" i="2"/>
  <c r="E4" i="2"/>
  <c r="E3" i="2"/>
  <c r="I19" i="1" l="1"/>
  <c r="I17" i="1"/>
  <c r="I14" i="1"/>
  <c r="I15" i="1"/>
  <c r="L12" i="1"/>
  <c r="I12" i="1"/>
  <c r="I13" i="1"/>
  <c r="J13" i="1" s="1"/>
  <c r="K13" i="1" s="1"/>
  <c r="L13" i="1" s="1"/>
  <c r="E12" i="1"/>
  <c r="E13" i="1"/>
  <c r="M9" i="1"/>
  <c r="L10" i="1"/>
  <c r="J11" i="1"/>
  <c r="K11" i="1" s="1"/>
  <c r="L11" i="1" s="1"/>
  <c r="I10" i="1"/>
  <c r="I11" i="1"/>
  <c r="M11" i="1" s="1"/>
  <c r="E10" i="1"/>
  <c r="E11" i="1"/>
  <c r="L8" i="1"/>
  <c r="J9" i="1"/>
  <c r="K9" i="1" s="1"/>
  <c r="L9" i="1" s="1"/>
  <c r="E8" i="1"/>
  <c r="E9" i="1"/>
  <c r="I8" i="1"/>
  <c r="I9" i="1"/>
  <c r="E7" i="1"/>
  <c r="K6" i="1"/>
  <c r="I7" i="1"/>
  <c r="L6" i="1"/>
  <c r="J6" i="1"/>
  <c r="I6" i="1"/>
  <c r="E6" i="1"/>
  <c r="I5" i="1"/>
  <c r="E5" i="1"/>
  <c r="J4" i="1"/>
  <c r="I4" i="1"/>
  <c r="G4" i="1"/>
  <c r="E4" i="1"/>
  <c r="J3" i="1"/>
  <c r="E3" i="1"/>
  <c r="J7" i="1" l="1"/>
  <c r="K7" i="1" s="1"/>
  <c r="L7" i="1" s="1"/>
  <c r="J5" i="1"/>
  <c r="M5" i="1"/>
  <c r="J3" i="2" s="1"/>
  <c r="K5" i="1"/>
  <c r="L5" i="1" s="1"/>
</calcChain>
</file>

<file path=xl/sharedStrings.xml><?xml version="1.0" encoding="utf-8"?>
<sst xmlns="http://schemas.openxmlformats.org/spreadsheetml/2006/main" count="187" uniqueCount="67">
  <si>
    <t>Name</t>
  </si>
  <si>
    <t>Step No.</t>
  </si>
  <si>
    <t>ZPVE (kcal/mol)</t>
  </si>
  <si>
    <t>ZPVE (Ha)</t>
  </si>
  <si>
    <t>Etot (Ha)</t>
  </si>
  <si>
    <t>Gcorr (kcal/mol)</t>
  </si>
  <si>
    <t>Gcorr (Ha)</t>
  </si>
  <si>
    <t>Gtot (Ha)</t>
  </si>
  <si>
    <t>ΔG(Ha)</t>
  </si>
  <si>
    <t>ΔG (eV)</t>
  </si>
  <si>
    <t>I0</t>
  </si>
  <si>
    <t>N/A</t>
  </si>
  <si>
    <t>I1.1</t>
  </si>
  <si>
    <t>I1.2</t>
  </si>
  <si>
    <t>AlSb_4x4-CO2</t>
  </si>
  <si>
    <t>AlSb_4x4-*COOH</t>
  </si>
  <si>
    <t>AlSb_4x4-*OCHO</t>
  </si>
  <si>
    <t>AlSb_4x4-CO</t>
  </si>
  <si>
    <t>I2.1</t>
  </si>
  <si>
    <t>AlSb_4x4-HCOOH</t>
  </si>
  <si>
    <t>I2.2+3</t>
  </si>
  <si>
    <t>AlSb_4x4-CH2O2*</t>
  </si>
  <si>
    <t>I2.4</t>
  </si>
  <si>
    <t>AlSb_4x4-*COH</t>
  </si>
  <si>
    <t>I3.1</t>
  </si>
  <si>
    <t>AlSb_4x4-*CHO</t>
  </si>
  <si>
    <t>I3.2</t>
  </si>
  <si>
    <t>AlSb_4x4-*</t>
  </si>
  <si>
    <t>I3.3</t>
  </si>
  <si>
    <t>I3.4+5</t>
  </si>
  <si>
    <t>ΔG(eV)</t>
  </si>
  <si>
    <t>I3.6</t>
  </si>
  <si>
    <t>OCH3</t>
  </si>
  <si>
    <t>C</t>
  </si>
  <si>
    <t>I4.1</t>
  </si>
  <si>
    <t>CH2O</t>
  </si>
  <si>
    <t>CHOH</t>
  </si>
  <si>
    <t>I4.3</t>
  </si>
  <si>
    <t>HCOH</t>
  </si>
  <si>
    <t>I4.4</t>
  </si>
  <si>
    <t>I4.2+5</t>
  </si>
  <si>
    <t>I4.6</t>
  </si>
  <si>
    <t>CH3OH</t>
  </si>
  <si>
    <t>I5.1+3</t>
  </si>
  <si>
    <t>CH</t>
  </si>
  <si>
    <t>I5.2+5+6</t>
  </si>
  <si>
    <t>CH2OH</t>
  </si>
  <si>
    <t>I5.4+7</t>
  </si>
  <si>
    <t>I6.1+3</t>
  </si>
  <si>
    <t>I6.2+4</t>
  </si>
  <si>
    <t>I7.1+2</t>
  </si>
  <si>
    <t>I8.1</t>
  </si>
  <si>
    <t>AlSb_4x4-*CHOHOH</t>
  </si>
  <si>
    <t>AlSb_4x4-*OCH2OH</t>
  </si>
  <si>
    <t>I4.7+I3.6</t>
  </si>
  <si>
    <t>CH2</t>
  </si>
  <si>
    <t>CH4</t>
  </si>
  <si>
    <t>I6.5+I4.6</t>
  </si>
  <si>
    <t>CH3</t>
  </si>
  <si>
    <t>CH2O/HCHO</t>
  </si>
  <si>
    <t>*CHOH</t>
  </si>
  <si>
    <t>*C</t>
  </si>
  <si>
    <t>*OCH3</t>
  </si>
  <si>
    <t>*CH</t>
  </si>
  <si>
    <t>*CH2OH</t>
  </si>
  <si>
    <t>*CH2</t>
  </si>
  <si>
    <t>*CH3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</si>
</sst>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53C8-DA1B-495A-8022-CC2D9B88EA9F}">
  <dimension ref="B1:M52"/>
  <sheetViews>
    <sheetView zoomScale="89" workbookViewId="0">
      <pane xSplit="3" topLeftCell="D1" activePane="topRight" state="frozen"/>
      <selection pane="topRight" activeCell="B1" sqref="B1:P52"/>
    </sheetView>
  </sheetViews>
  <sheetFormatPr defaultRowHeight="14.4" x14ac:dyDescent="0.3"/>
  <cols>
    <col min="2" max="2" width="19.77734375" customWidth="1"/>
    <col min="3" max="3" width="11.44140625" customWidth="1"/>
    <col min="4" max="4" width="16.5546875" customWidth="1"/>
    <col min="5" max="5" width="12.6640625" customWidth="1"/>
    <col min="6" max="6" width="13.77734375" customWidth="1"/>
    <col min="8" max="8" width="15.77734375" customWidth="1"/>
    <col min="9" max="9" width="14.109375" customWidth="1"/>
    <col min="10" max="10" width="12.44140625" customWidth="1"/>
    <col min="11" max="11" width="16.88671875" customWidth="1"/>
    <col min="12" max="12" width="15" customWidth="1"/>
    <col min="13" max="13" width="15.6640625" customWidth="1"/>
  </cols>
  <sheetData>
    <row r="1" spans="2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s="1" t="s">
        <v>8</v>
      </c>
      <c r="L1" s="1" t="s">
        <v>9</v>
      </c>
      <c r="M1" s="1" t="s">
        <v>30</v>
      </c>
    </row>
    <row r="3" spans="2:13" x14ac:dyDescent="0.3">
      <c r="B3" t="s">
        <v>14</v>
      </c>
      <c r="C3" t="s">
        <v>10</v>
      </c>
      <c r="D3">
        <v>30.297999999999998</v>
      </c>
      <c r="E3">
        <f>D3*0.00159362</f>
        <v>4.8283498759999995E-2</v>
      </c>
      <c r="F3">
        <v>-6320.0087114999997</v>
      </c>
      <c r="H3">
        <v>-17.23</v>
      </c>
      <c r="I3">
        <f>H3*0.00159362</f>
        <v>-2.7458072600000001E-2</v>
      </c>
      <c r="J3">
        <f>I3+F3</f>
        <v>-6320.0361695725996</v>
      </c>
      <c r="K3" t="s">
        <v>11</v>
      </c>
    </row>
    <row r="4" spans="2:13" x14ac:dyDescent="0.3">
      <c r="E4">
        <f t="shared" ref="E4:E6" si="0">(D4)*0.00159362</f>
        <v>0</v>
      </c>
      <c r="G4">
        <f t="shared" ref="G4" si="1">(F4)*27.211407953</f>
        <v>0</v>
      </c>
      <c r="I4">
        <f t="shared" ref="I4:I15" si="2">H4*0.00159362</f>
        <v>0</v>
      </c>
      <c r="J4">
        <f t="shared" ref="J4:J7" si="3">I4+F4</f>
        <v>0</v>
      </c>
    </row>
    <row r="5" spans="2:13" x14ac:dyDescent="0.3">
      <c r="B5" t="s">
        <v>15</v>
      </c>
      <c r="C5" t="s">
        <v>12</v>
      </c>
      <c r="D5">
        <v>33.414000000000001</v>
      </c>
      <c r="E5">
        <f t="shared" si="0"/>
        <v>5.3249218680000002E-2</v>
      </c>
      <c r="F5">
        <v>-6320.4661002000003</v>
      </c>
      <c r="H5">
        <v>-14.298</v>
      </c>
      <c r="I5">
        <f t="shared" si="2"/>
        <v>-2.2785578760000001E-2</v>
      </c>
      <c r="J5">
        <f t="shared" si="3"/>
        <v>-6320.4888857787601</v>
      </c>
      <c r="K5">
        <f>J5-J3</f>
        <v>-0.45271620616040309</v>
      </c>
      <c r="L5">
        <f>K5*27.211407953</f>
        <v>-12.31904537276518</v>
      </c>
      <c r="M5">
        <f>(I5-I3)*27.211407953</f>
        <v>0.1271451360381195</v>
      </c>
    </row>
    <row r="6" spans="2:13" x14ac:dyDescent="0.3">
      <c r="E6">
        <f t="shared" si="0"/>
        <v>0</v>
      </c>
      <c r="I6">
        <f t="shared" si="2"/>
        <v>0</v>
      </c>
      <c r="J6">
        <f t="shared" si="3"/>
        <v>0</v>
      </c>
      <c r="K6">
        <f t="shared" ref="K6" si="4">J6-J4</f>
        <v>0</v>
      </c>
      <c r="L6">
        <f t="shared" ref="L6:L13" si="5">K6*27.211407953</f>
        <v>0</v>
      </c>
    </row>
    <row r="7" spans="2:13" x14ac:dyDescent="0.3">
      <c r="B7" t="s">
        <v>16</v>
      </c>
      <c r="C7" t="s">
        <v>13</v>
      </c>
      <c r="D7">
        <v>33.917000000000002</v>
      </c>
      <c r="E7">
        <f>(D7)*0.00159362</f>
        <v>5.4050809540000001E-2</v>
      </c>
      <c r="F7">
        <v>-6320.5325757999999</v>
      </c>
      <c r="H7">
        <v>-10.68</v>
      </c>
      <c r="I7">
        <f t="shared" si="2"/>
        <v>-1.7019861599999998E-2</v>
      </c>
      <c r="J7">
        <f t="shared" si="3"/>
        <v>-6320.5495956615996</v>
      </c>
      <c r="K7">
        <f>J7-J3</f>
        <v>-0.51342608899994957</v>
      </c>
      <c r="L7">
        <f t="shared" si="5"/>
        <v>-13.971046761490912</v>
      </c>
      <c r="M7">
        <f>(I7-I3)*27.211407953</f>
        <v>0.28403841782049216</v>
      </c>
    </row>
    <row r="8" spans="2:13" x14ac:dyDescent="0.3">
      <c r="E8">
        <f t="shared" ref="E8:E13" si="6">(D8)*0.00159362</f>
        <v>0</v>
      </c>
      <c r="I8">
        <f t="shared" si="2"/>
        <v>0</v>
      </c>
      <c r="L8">
        <f t="shared" si="5"/>
        <v>0</v>
      </c>
    </row>
    <row r="9" spans="2:13" x14ac:dyDescent="0.3">
      <c r="B9" t="s">
        <v>17</v>
      </c>
      <c r="C9" t="s">
        <v>18</v>
      </c>
      <c r="D9">
        <v>26.364000000000001</v>
      </c>
      <c r="E9">
        <f t="shared" si="6"/>
        <v>4.2014197680000004E-2</v>
      </c>
      <c r="F9">
        <v>-6244.7049636000002</v>
      </c>
      <c r="H9">
        <v>-21.411999999999999</v>
      </c>
      <c r="I9">
        <f t="shared" si="2"/>
        <v>-3.4122591439999995E-2</v>
      </c>
      <c r="J9">
        <f>I9+F9</f>
        <v>-6244.73908619144</v>
      </c>
      <c r="K9">
        <f>J9-J3</f>
        <v>75.297083381159609</v>
      </c>
      <c r="L9">
        <f t="shared" si="5"/>
        <v>2048.9396535557908</v>
      </c>
      <c r="M9">
        <f>(I9-I3)*27.211407953</f>
        <v>-0.18135094096569418</v>
      </c>
    </row>
    <row r="10" spans="2:13" x14ac:dyDescent="0.3">
      <c r="E10">
        <f t="shared" si="6"/>
        <v>0</v>
      </c>
      <c r="I10">
        <f t="shared" si="2"/>
        <v>0</v>
      </c>
      <c r="L10">
        <f t="shared" si="5"/>
        <v>0</v>
      </c>
    </row>
    <row r="11" spans="2:13" x14ac:dyDescent="0.3">
      <c r="B11" t="s">
        <v>19</v>
      </c>
      <c r="C11" t="s">
        <v>20</v>
      </c>
      <c r="D11">
        <v>42.783999999999999</v>
      </c>
      <c r="E11">
        <f t="shared" si="6"/>
        <v>6.8181438080000004E-2</v>
      </c>
      <c r="F11">
        <v>-6321.1593450999999</v>
      </c>
      <c r="H11">
        <v>-3.468</v>
      </c>
      <c r="I11">
        <f t="shared" si="2"/>
        <v>-5.5266741599999999E-3</v>
      </c>
      <c r="J11">
        <f>I11+F11</f>
        <v>-6321.16487177416</v>
      </c>
      <c r="K11">
        <f>J11-J3</f>
        <v>-1.1287022015603725</v>
      </c>
      <c r="L11">
        <f t="shared" si="5"/>
        <v>-30.713576064108526</v>
      </c>
      <c r="M11">
        <f>(I11-I3)*27.211407953</f>
        <v>0.59678422993062774</v>
      </c>
    </row>
    <row r="12" spans="2:13" x14ac:dyDescent="0.3">
      <c r="E12">
        <f t="shared" si="6"/>
        <v>0</v>
      </c>
      <c r="I12">
        <f t="shared" si="2"/>
        <v>0</v>
      </c>
      <c r="L12">
        <f t="shared" si="5"/>
        <v>0</v>
      </c>
      <c r="M12">
        <f t="shared" ref="M12:M16" si="7">(I12-I4)*27.211407953</f>
        <v>0</v>
      </c>
    </row>
    <row r="13" spans="2:13" x14ac:dyDescent="0.3">
      <c r="B13" t="s">
        <v>21</v>
      </c>
      <c r="C13" t="s">
        <v>22</v>
      </c>
      <c r="D13">
        <v>40.533999999999999</v>
      </c>
      <c r="E13">
        <f t="shared" si="6"/>
        <v>6.4595793080000005E-2</v>
      </c>
      <c r="F13">
        <v>-6321.0410137999997</v>
      </c>
      <c r="H13">
        <v>-2.4590000000000001</v>
      </c>
      <c r="I13">
        <f t="shared" si="2"/>
        <v>-3.9187115800000004E-3</v>
      </c>
      <c r="J13">
        <f>I13+F13</f>
        <v>-6321.0449325115796</v>
      </c>
      <c r="K13">
        <f>J13-J3</f>
        <v>-1.0087629389799986</v>
      </c>
      <c r="L13">
        <f t="shared" si="5"/>
        <v>-27.449859860451987</v>
      </c>
      <c r="M13">
        <f>(I13-I3)*27.211407953</f>
        <v>0.6405391556681661</v>
      </c>
    </row>
    <row r="14" spans="2:13" x14ac:dyDescent="0.3">
      <c r="I14">
        <f t="shared" si="2"/>
        <v>0</v>
      </c>
      <c r="M14">
        <f t="shared" si="7"/>
        <v>0</v>
      </c>
    </row>
    <row r="15" spans="2:13" x14ac:dyDescent="0.3">
      <c r="B15" t="s">
        <v>23</v>
      </c>
      <c r="C15" t="s">
        <v>24</v>
      </c>
      <c r="H15">
        <v>-18.75</v>
      </c>
      <c r="I15">
        <f t="shared" si="2"/>
        <v>-2.9880375000000001E-2</v>
      </c>
      <c r="M15">
        <f>(I15-I3)*27.211407953</f>
        <v>-6.5914258791930969E-2</v>
      </c>
    </row>
    <row r="16" spans="2:13" x14ac:dyDescent="0.3">
      <c r="M16">
        <f t="shared" si="7"/>
        <v>0</v>
      </c>
    </row>
    <row r="17" spans="2:13" x14ac:dyDescent="0.3">
      <c r="B17" t="s">
        <v>25</v>
      </c>
      <c r="C17" t="s">
        <v>26</v>
      </c>
      <c r="H17">
        <v>-13.637</v>
      </c>
      <c r="I17">
        <f>H17*0.00159362</f>
        <v>-2.1732195940000001E-2</v>
      </c>
      <c r="M17">
        <f>(I17-I3)*27.211407953</f>
        <v>0.15580916568382108</v>
      </c>
    </row>
    <row r="18" spans="2:13" x14ac:dyDescent="0.3">
      <c r="M18">
        <f t="shared" ref="M18:M48" si="8">(I18-I6)*27.211407953</f>
        <v>0</v>
      </c>
    </row>
    <row r="19" spans="2:13" x14ac:dyDescent="0.3">
      <c r="B19" t="s">
        <v>52</v>
      </c>
      <c r="C19" t="s">
        <v>28</v>
      </c>
      <c r="H19">
        <v>1.093</v>
      </c>
      <c r="I19">
        <f>H19*0.00159362</f>
        <v>1.7418266599999999E-3</v>
      </c>
      <c r="M19">
        <f>(I19-I3)*27.211407953</f>
        <v>0.79457037095036287</v>
      </c>
    </row>
    <row r="20" spans="2:13" x14ac:dyDescent="0.3">
      <c r="I20">
        <f t="shared" ref="I20:I52" si="9">H20*0.00159362</f>
        <v>0</v>
      </c>
      <c r="M20">
        <f t="shared" si="8"/>
        <v>0</v>
      </c>
    </row>
    <row r="21" spans="2:13" x14ac:dyDescent="0.3">
      <c r="B21" t="s">
        <v>53</v>
      </c>
      <c r="C21" t="s">
        <v>29</v>
      </c>
      <c r="H21">
        <v>3.383</v>
      </c>
      <c r="I21">
        <f t="shared" si="9"/>
        <v>5.3912164599999998E-3</v>
      </c>
      <c r="M21">
        <f>(I21-I3)*27.211407953</f>
        <v>0.89387540557767986</v>
      </c>
    </row>
    <row r="22" spans="2:13" x14ac:dyDescent="0.3">
      <c r="I22">
        <f t="shared" si="9"/>
        <v>0</v>
      </c>
      <c r="M22">
        <f t="shared" si="8"/>
        <v>0</v>
      </c>
    </row>
    <row r="23" spans="2:13" x14ac:dyDescent="0.3">
      <c r="B23" t="s">
        <v>32</v>
      </c>
      <c r="C23" t="s">
        <v>31</v>
      </c>
      <c r="H23">
        <v>-0.69599999999999995</v>
      </c>
      <c r="I23">
        <f t="shared" si="9"/>
        <v>-1.1091595199999998E-3</v>
      </c>
      <c r="M23">
        <f>(I23-I3)*27.211407953</f>
        <v>0.71699102293801775</v>
      </c>
    </row>
    <row r="24" spans="2:13" x14ac:dyDescent="0.3">
      <c r="I24">
        <f t="shared" si="9"/>
        <v>0</v>
      </c>
      <c r="M24">
        <f t="shared" si="8"/>
        <v>0</v>
      </c>
    </row>
    <row r="25" spans="2:13" x14ac:dyDescent="0.3">
      <c r="B25" t="s">
        <v>33</v>
      </c>
      <c r="C25" t="s">
        <v>34</v>
      </c>
      <c r="H25">
        <v>-22.094999999999999</v>
      </c>
      <c r="I25">
        <f t="shared" si="9"/>
        <v>-3.5211033900000001E-2</v>
      </c>
      <c r="M25">
        <f>(I25-I3)*27.211407953</f>
        <v>-0.2109689927781212</v>
      </c>
    </row>
    <row r="26" spans="2:13" x14ac:dyDescent="0.3">
      <c r="I26">
        <f t="shared" si="9"/>
        <v>0</v>
      </c>
      <c r="M26">
        <f t="shared" si="8"/>
        <v>0</v>
      </c>
    </row>
    <row r="27" spans="2:13" x14ac:dyDescent="0.3">
      <c r="B27" t="s">
        <v>35</v>
      </c>
      <c r="C27" t="s">
        <v>40</v>
      </c>
      <c r="H27">
        <v>-6.1639999999999997</v>
      </c>
      <c r="I27">
        <f t="shared" si="9"/>
        <v>-9.8230736799999989E-3</v>
      </c>
      <c r="M27">
        <f>(I27-I3)*27.211407953</f>
        <v>0.47987314986283447</v>
      </c>
    </row>
    <row r="28" spans="2:13" x14ac:dyDescent="0.3">
      <c r="I28">
        <f t="shared" si="9"/>
        <v>0</v>
      </c>
      <c r="M28">
        <f t="shared" si="8"/>
        <v>0</v>
      </c>
    </row>
    <row r="29" spans="2:13" x14ac:dyDescent="0.3">
      <c r="B29" t="s">
        <v>36</v>
      </c>
      <c r="C29" t="s">
        <v>37</v>
      </c>
      <c r="H29">
        <v>-10.093999999999999</v>
      </c>
      <c r="I29">
        <f t="shared" si="9"/>
        <v>-1.6086000279999998E-2</v>
      </c>
      <c r="M29">
        <f>(I29-I3)*27.211407953</f>
        <v>0.30945009917053923</v>
      </c>
    </row>
    <row r="30" spans="2:13" x14ac:dyDescent="0.3">
      <c r="I30">
        <f t="shared" si="9"/>
        <v>0</v>
      </c>
      <c r="M30">
        <f t="shared" si="8"/>
        <v>0</v>
      </c>
    </row>
    <row r="31" spans="2:13" x14ac:dyDescent="0.3">
      <c r="B31" t="s">
        <v>38</v>
      </c>
      <c r="C31" t="s">
        <v>39</v>
      </c>
      <c r="H31">
        <v>-8.9339999999999993</v>
      </c>
      <c r="I31">
        <f t="shared" si="9"/>
        <v>-1.4237401079999998E-2</v>
      </c>
      <c r="M31">
        <f>(I31-I3)*27.211407953</f>
        <v>0.35975308614332868</v>
      </c>
    </row>
    <row r="32" spans="2:13" x14ac:dyDescent="0.3">
      <c r="I32">
        <f t="shared" si="9"/>
        <v>0</v>
      </c>
      <c r="M32">
        <f t="shared" si="8"/>
        <v>0</v>
      </c>
    </row>
    <row r="33" spans="2:13" x14ac:dyDescent="0.3">
      <c r="B33" t="s">
        <v>42</v>
      </c>
      <c r="C33" t="s">
        <v>41</v>
      </c>
      <c r="H33">
        <v>6.4820000000000002</v>
      </c>
      <c r="I33">
        <f t="shared" si="9"/>
        <v>1.032984484E-2</v>
      </c>
      <c r="M33">
        <f>(I33-I3)*27.211407953</f>
        <v>1.0282624371541234</v>
      </c>
    </row>
    <row r="34" spans="2:13" x14ac:dyDescent="0.3">
      <c r="I34">
        <f t="shared" si="9"/>
        <v>0</v>
      </c>
      <c r="M34">
        <f t="shared" si="8"/>
        <v>0</v>
      </c>
    </row>
    <row r="35" spans="2:13" x14ac:dyDescent="0.3">
      <c r="B35" t="s">
        <v>32</v>
      </c>
      <c r="C35" t="s">
        <v>54</v>
      </c>
      <c r="I35">
        <f t="shared" si="9"/>
        <v>0</v>
      </c>
    </row>
    <row r="36" spans="2:13" x14ac:dyDescent="0.3">
      <c r="I36">
        <f t="shared" si="9"/>
        <v>0</v>
      </c>
      <c r="M36">
        <f t="shared" si="8"/>
        <v>0</v>
      </c>
    </row>
    <row r="37" spans="2:13" x14ac:dyDescent="0.3">
      <c r="B37" t="s">
        <v>44</v>
      </c>
      <c r="C37" t="s">
        <v>43</v>
      </c>
      <c r="H37">
        <v>-17.681000000000001</v>
      </c>
      <c r="I37">
        <f t="shared" si="9"/>
        <v>-2.8176795220000002E-2</v>
      </c>
      <c r="M37">
        <f>(I37-I3)*27.211407953</f>
        <v>-1.9557454417869016E-2</v>
      </c>
    </row>
    <row r="38" spans="2:13" x14ac:dyDescent="0.3">
      <c r="I38">
        <f t="shared" si="9"/>
        <v>0</v>
      </c>
      <c r="M38">
        <f t="shared" si="8"/>
        <v>0</v>
      </c>
    </row>
    <row r="39" spans="2:13" x14ac:dyDescent="0.3">
      <c r="B39" t="s">
        <v>46</v>
      </c>
      <c r="C39" t="s">
        <v>45</v>
      </c>
      <c r="H39">
        <v>-2.8010000000000002</v>
      </c>
      <c r="I39">
        <f t="shared" si="9"/>
        <v>-4.4637296200000006E-3</v>
      </c>
      <c r="M39">
        <f>(I39-I3)*27.211407953</f>
        <v>0.62570844743998166</v>
      </c>
    </row>
    <row r="40" spans="2:13" x14ac:dyDescent="0.3">
      <c r="I40">
        <f t="shared" si="9"/>
        <v>0</v>
      </c>
      <c r="M40">
        <f t="shared" si="8"/>
        <v>0</v>
      </c>
    </row>
    <row r="41" spans="2:13" x14ac:dyDescent="0.3">
      <c r="B41" t="s">
        <v>32</v>
      </c>
      <c r="C41" t="s">
        <v>47</v>
      </c>
      <c r="I41">
        <f t="shared" si="9"/>
        <v>0</v>
      </c>
      <c r="M41">
        <f>(I41-I3)*27.211407953</f>
        <v>0.74717281512169142</v>
      </c>
    </row>
    <row r="42" spans="2:13" x14ac:dyDescent="0.3">
      <c r="I42">
        <f t="shared" si="9"/>
        <v>0</v>
      </c>
      <c r="M42">
        <f t="shared" si="8"/>
        <v>0</v>
      </c>
    </row>
    <row r="43" spans="2:13" x14ac:dyDescent="0.3">
      <c r="B43" t="s">
        <v>55</v>
      </c>
      <c r="C43" t="s">
        <v>48</v>
      </c>
      <c r="H43">
        <v>-10.247</v>
      </c>
      <c r="I43">
        <f t="shared" si="9"/>
        <v>-1.6329824140000001E-2</v>
      </c>
      <c r="M43">
        <f>(I43-I3)*27.211407953</f>
        <v>0.30281530864740397</v>
      </c>
    </row>
    <row r="44" spans="2:13" x14ac:dyDescent="0.3">
      <c r="I44">
        <f t="shared" si="9"/>
        <v>0</v>
      </c>
      <c r="M44">
        <f t="shared" si="8"/>
        <v>0</v>
      </c>
    </row>
    <row r="45" spans="2:13" x14ac:dyDescent="0.3">
      <c r="B45" t="s">
        <v>42</v>
      </c>
      <c r="C45" t="s">
        <v>49</v>
      </c>
      <c r="H45">
        <v>6.4820000000000002</v>
      </c>
      <c r="I45">
        <f t="shared" si="9"/>
        <v>1.032984484E-2</v>
      </c>
      <c r="M45">
        <f>(I45-I3)*27.211407953</f>
        <v>1.0282624371541234</v>
      </c>
    </row>
    <row r="46" spans="2:13" x14ac:dyDescent="0.3">
      <c r="I46">
        <f t="shared" si="9"/>
        <v>0</v>
      </c>
      <c r="M46">
        <f t="shared" si="8"/>
        <v>0</v>
      </c>
    </row>
    <row r="47" spans="2:13" x14ac:dyDescent="0.3">
      <c r="B47" t="s">
        <v>56</v>
      </c>
      <c r="C47" t="s">
        <v>57</v>
      </c>
      <c r="H47">
        <v>4.7050000000000001</v>
      </c>
      <c r="I47">
        <f t="shared" si="9"/>
        <v>7.4979820999999999E-3</v>
      </c>
      <c r="M47">
        <f>(I47-I3)*27.211407953</f>
        <v>0.95120346486908303</v>
      </c>
    </row>
    <row r="48" spans="2:13" x14ac:dyDescent="0.3">
      <c r="I48">
        <f t="shared" si="9"/>
        <v>0</v>
      </c>
      <c r="M48">
        <f t="shared" si="8"/>
        <v>0</v>
      </c>
    </row>
    <row r="49" spans="2:13" x14ac:dyDescent="0.3">
      <c r="B49" t="s">
        <v>58</v>
      </c>
      <c r="C49" t="s">
        <v>50</v>
      </c>
      <c r="H49">
        <v>-5.3650000000000002</v>
      </c>
      <c r="I49">
        <f t="shared" si="9"/>
        <v>-8.5497712999999999E-3</v>
      </c>
      <c r="M49">
        <f>(I49-I3)*27.211407953</f>
        <v>0.51452150037254019</v>
      </c>
    </row>
    <row r="50" spans="2:13" x14ac:dyDescent="0.3">
      <c r="I50">
        <f t="shared" si="9"/>
        <v>0</v>
      </c>
      <c r="M50">
        <f t="shared" ref="M50:M52" si="10">(I50-I34)*27.211407953</f>
        <v>0</v>
      </c>
    </row>
    <row r="51" spans="2:13" x14ac:dyDescent="0.3">
      <c r="B51" t="s">
        <v>56</v>
      </c>
      <c r="C51" t="s">
        <v>51</v>
      </c>
      <c r="I51">
        <f t="shared" si="9"/>
        <v>0</v>
      </c>
      <c r="M51">
        <f t="shared" si="10"/>
        <v>0</v>
      </c>
    </row>
    <row r="52" spans="2:13" x14ac:dyDescent="0.3">
      <c r="I52">
        <f t="shared" si="9"/>
        <v>0</v>
      </c>
      <c r="M52">
        <f t="shared" si="1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9B44-8836-4259-A1A6-ECE10609AC31}">
  <dimension ref="B1:J21"/>
  <sheetViews>
    <sheetView tabSelected="1" workbookViewId="0">
      <selection activeCell="J3" sqref="J3"/>
    </sheetView>
  </sheetViews>
  <sheetFormatPr defaultRowHeight="14.4" x14ac:dyDescent="0.3"/>
  <sheetData>
    <row r="1" spans="2:10" x14ac:dyDescent="0.3">
      <c r="B1" t="s">
        <v>0</v>
      </c>
      <c r="C1" t="s">
        <v>1</v>
      </c>
      <c r="D1" t="s">
        <v>2</v>
      </c>
      <c r="E1" t="s">
        <v>3</v>
      </c>
      <c r="G1" t="s">
        <v>5</v>
      </c>
      <c r="H1" t="s">
        <v>6</v>
      </c>
      <c r="J1" s="1" t="s">
        <v>30</v>
      </c>
    </row>
    <row r="3" spans="2:10" x14ac:dyDescent="0.3">
      <c r="B3" t="s">
        <v>14</v>
      </c>
      <c r="C3" t="s">
        <v>10</v>
      </c>
      <c r="D3">
        <v>30.297999999999998</v>
      </c>
      <c r="E3">
        <f>D3*0.00159362</f>
        <v>4.8283498759999995E-2</v>
      </c>
      <c r="G3">
        <v>-16.105</v>
      </c>
      <c r="H3">
        <f>G3*0.00159362</f>
        <v>-2.5665250100000002E-2</v>
      </c>
      <c r="J3">
        <f>'Fe doped'!M5</f>
        <v>0.1271451360381195</v>
      </c>
    </row>
    <row r="4" spans="2:10" x14ac:dyDescent="0.3">
      <c r="E4">
        <f t="shared" ref="E4:E6" si="0">(D4)*0.00159362</f>
        <v>0</v>
      </c>
      <c r="H4">
        <f t="shared" ref="H4:H15" si="1">G4*0.00159362</f>
        <v>0</v>
      </c>
    </row>
    <row r="5" spans="2:10" x14ac:dyDescent="0.3">
      <c r="B5" t="s">
        <v>15</v>
      </c>
      <c r="C5" t="s">
        <v>12</v>
      </c>
      <c r="D5">
        <v>33.414000000000001</v>
      </c>
      <c r="E5">
        <f t="shared" si="0"/>
        <v>5.3249218680000002E-2</v>
      </c>
      <c r="G5">
        <v>-16.965</v>
      </c>
      <c r="H5">
        <f t="shared" si="1"/>
        <v>-2.7035763300000001E-2</v>
      </c>
      <c r="J5">
        <f>(F5-F3)*27.211407953</f>
        <v>0</v>
      </c>
    </row>
    <row r="6" spans="2:10" x14ac:dyDescent="0.3">
      <c r="E6">
        <f t="shared" si="0"/>
        <v>0</v>
      </c>
      <c r="H6">
        <f t="shared" si="1"/>
        <v>0</v>
      </c>
    </row>
    <row r="7" spans="2:10" x14ac:dyDescent="0.3">
      <c r="B7" t="s">
        <v>16</v>
      </c>
      <c r="C7" t="s">
        <v>13</v>
      </c>
      <c r="D7">
        <v>33.917000000000002</v>
      </c>
      <c r="E7">
        <f>(D7)*0.00159362</f>
        <v>5.4050809540000001E-2</v>
      </c>
      <c r="G7">
        <v>-15.51</v>
      </c>
      <c r="H7">
        <f t="shared" si="1"/>
        <v>-2.4717046199999999E-2</v>
      </c>
      <c r="J7">
        <f>(F7-F3)*27.211407953</f>
        <v>0</v>
      </c>
    </row>
    <row r="8" spans="2:10" x14ac:dyDescent="0.3">
      <c r="E8">
        <f t="shared" ref="E8:E13" si="2">(D8)*0.00159362</f>
        <v>0</v>
      </c>
      <c r="H8">
        <f t="shared" si="1"/>
        <v>0</v>
      </c>
    </row>
    <row r="9" spans="2:10" x14ac:dyDescent="0.3">
      <c r="B9" t="s">
        <v>17</v>
      </c>
      <c r="C9" t="s">
        <v>18</v>
      </c>
      <c r="D9">
        <v>26.364000000000001</v>
      </c>
      <c r="E9">
        <f t="shared" si="2"/>
        <v>4.2014197680000004E-2</v>
      </c>
      <c r="G9">
        <v>-21.831</v>
      </c>
      <c r="H9">
        <f t="shared" si="1"/>
        <v>-3.4790318219999998E-2</v>
      </c>
      <c r="J9">
        <f>(F9-F3)*27.211407953</f>
        <v>0</v>
      </c>
    </row>
    <row r="10" spans="2:10" x14ac:dyDescent="0.3">
      <c r="E10">
        <f t="shared" si="2"/>
        <v>0</v>
      </c>
      <c r="H10">
        <f t="shared" si="1"/>
        <v>0</v>
      </c>
    </row>
    <row r="11" spans="2:10" x14ac:dyDescent="0.3">
      <c r="B11" t="s">
        <v>19</v>
      </c>
      <c r="C11" t="s">
        <v>20</v>
      </c>
      <c r="D11">
        <v>42.783999999999999</v>
      </c>
      <c r="E11">
        <f t="shared" si="2"/>
        <v>6.8181438080000004E-2</v>
      </c>
      <c r="G11">
        <v>-5.7969999999999997</v>
      </c>
      <c r="H11">
        <f t="shared" si="1"/>
        <v>-9.2382151400000004E-3</v>
      </c>
      <c r="J11">
        <f>(F11-F3)*27.211407953</f>
        <v>0</v>
      </c>
    </row>
    <row r="12" spans="2:10" x14ac:dyDescent="0.3">
      <c r="E12">
        <f t="shared" si="2"/>
        <v>0</v>
      </c>
      <c r="H12">
        <f t="shared" si="1"/>
        <v>0</v>
      </c>
    </row>
    <row r="13" spans="2:10" x14ac:dyDescent="0.3">
      <c r="B13" t="s">
        <v>21</v>
      </c>
      <c r="C13" t="s">
        <v>22</v>
      </c>
      <c r="D13">
        <v>40.533999999999999</v>
      </c>
      <c r="E13">
        <f t="shared" si="2"/>
        <v>6.4595793080000005E-2</v>
      </c>
      <c r="G13">
        <v>-7.601</v>
      </c>
      <c r="H13">
        <f t="shared" si="1"/>
        <v>-1.211310562E-2</v>
      </c>
      <c r="J13">
        <f>(F13-F3)*27.211407953</f>
        <v>0</v>
      </c>
    </row>
    <row r="14" spans="2:10" x14ac:dyDescent="0.3">
      <c r="H14">
        <f t="shared" si="1"/>
        <v>0</v>
      </c>
    </row>
    <row r="15" spans="2:10" x14ac:dyDescent="0.3">
      <c r="B15" t="s">
        <v>23</v>
      </c>
      <c r="C15" t="s">
        <v>24</v>
      </c>
      <c r="G15">
        <v>-18.940999999999999</v>
      </c>
      <c r="H15">
        <f t="shared" si="1"/>
        <v>-3.018475642E-2</v>
      </c>
      <c r="J15">
        <f>(F15-F3)*27.211407953</f>
        <v>0</v>
      </c>
    </row>
    <row r="17" spans="2:10" x14ac:dyDescent="0.3">
      <c r="B17" t="s">
        <v>25</v>
      </c>
      <c r="C17" t="s">
        <v>26</v>
      </c>
      <c r="G17">
        <v>-17.61</v>
      </c>
      <c r="H17">
        <f>G17*0.00159362</f>
        <v>-2.8063648199999999E-2</v>
      </c>
      <c r="J17">
        <f>(F17-F3)*27.211407953</f>
        <v>0</v>
      </c>
    </row>
    <row r="19" spans="2:10" x14ac:dyDescent="0.3">
      <c r="B19" t="s">
        <v>27</v>
      </c>
      <c r="C19" t="s">
        <v>28</v>
      </c>
      <c r="G19">
        <v>-0.82899999999999996</v>
      </c>
      <c r="H19">
        <f>G19*0.00159362</f>
        <v>-1.3211109799999999E-3</v>
      </c>
      <c r="J19">
        <f>(F19-F3)*27.211407953</f>
        <v>0</v>
      </c>
    </row>
    <row r="21" spans="2:10" x14ac:dyDescent="0.3">
      <c r="B21" t="s">
        <v>27</v>
      </c>
      <c r="C21" t="s">
        <v>29</v>
      </c>
      <c r="G21">
        <v>-1.99</v>
      </c>
      <c r="H21">
        <f>G21*0.00159362</f>
        <v>-3.1713038000000002E-3</v>
      </c>
      <c r="J21">
        <f>(F21-F3)*27.211407953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246A-E2F8-4029-AE25-F332E4ED0EFE}">
  <dimension ref="B1:M52"/>
  <sheetViews>
    <sheetView workbookViewId="0">
      <selection activeCell="O50" sqref="O50"/>
    </sheetView>
  </sheetViews>
  <sheetFormatPr defaultRowHeight="14.4" x14ac:dyDescent="0.3"/>
  <cols>
    <col min="2" max="2" width="20.5546875" customWidth="1"/>
    <col min="3" max="3" width="12.109375" customWidth="1"/>
    <col min="4" max="4" width="0.109375" hidden="1" customWidth="1"/>
    <col min="5" max="5" width="1.77734375" customWidth="1"/>
    <col min="6" max="6" width="1.21875" customWidth="1"/>
    <col min="7" max="7" width="0.88671875" customWidth="1"/>
    <col min="8" max="8" width="15.44140625" customWidth="1"/>
    <col min="9" max="9" width="16.77734375" customWidth="1"/>
    <col min="10" max="10" width="2.21875" customWidth="1"/>
    <col min="11" max="11" width="1.6640625" customWidth="1"/>
    <col min="12" max="12" width="3.6640625" customWidth="1"/>
    <col min="13" max="13" width="13.109375" customWidth="1"/>
  </cols>
  <sheetData>
    <row r="1" spans="2:13" x14ac:dyDescent="0.3">
      <c r="B1" t="s">
        <v>0</v>
      </c>
      <c r="C1" t="s">
        <v>1</v>
      </c>
      <c r="H1" t="s">
        <v>5</v>
      </c>
      <c r="I1" t="s">
        <v>6</v>
      </c>
      <c r="K1" s="1"/>
      <c r="L1" s="1"/>
      <c r="M1" s="1" t="s">
        <v>30</v>
      </c>
    </row>
    <row r="3" spans="2:13" x14ac:dyDescent="0.3">
      <c r="B3" t="s">
        <v>14</v>
      </c>
      <c r="C3" t="s">
        <v>10</v>
      </c>
      <c r="H3">
        <v>-17.23</v>
      </c>
      <c r="I3">
        <f>H3*0.00159362</f>
        <v>-2.7458072600000001E-2</v>
      </c>
    </row>
    <row r="4" spans="2:13" x14ac:dyDescent="0.3">
      <c r="I4">
        <f t="shared" ref="I4:I15" si="0">H4*0.00159362</f>
        <v>0</v>
      </c>
    </row>
    <row r="5" spans="2:13" x14ac:dyDescent="0.3">
      <c r="B5" t="s">
        <v>15</v>
      </c>
      <c r="C5" t="s">
        <v>12</v>
      </c>
      <c r="H5">
        <v>-14.298</v>
      </c>
      <c r="I5">
        <f t="shared" si="0"/>
        <v>-2.2785578760000001E-2</v>
      </c>
      <c r="M5">
        <f>(I5-I3)*27.211407953</f>
        <v>0.1271451360381195</v>
      </c>
    </row>
    <row r="6" spans="2:13" x14ac:dyDescent="0.3">
      <c r="I6">
        <f t="shared" si="0"/>
        <v>0</v>
      </c>
    </row>
    <row r="7" spans="2:13" x14ac:dyDescent="0.3">
      <c r="B7" t="s">
        <v>16</v>
      </c>
      <c r="C7" t="s">
        <v>13</v>
      </c>
      <c r="H7">
        <v>-10.68</v>
      </c>
      <c r="I7">
        <f t="shared" si="0"/>
        <v>-1.7019861599999998E-2</v>
      </c>
      <c r="M7">
        <f>(I7-I3)*27.211407953</f>
        <v>0.28403841782049216</v>
      </c>
    </row>
    <row r="8" spans="2:13" x14ac:dyDescent="0.3">
      <c r="I8">
        <f t="shared" si="0"/>
        <v>0</v>
      </c>
    </row>
    <row r="9" spans="2:13" x14ac:dyDescent="0.3">
      <c r="B9" t="s">
        <v>17</v>
      </c>
      <c r="C9" t="s">
        <v>18</v>
      </c>
      <c r="H9">
        <v>-21.411999999999999</v>
      </c>
      <c r="I9">
        <f t="shared" si="0"/>
        <v>-3.4122591439999995E-2</v>
      </c>
      <c r="M9">
        <f>(I9-I3)*27.211407953</f>
        <v>-0.18135094096569418</v>
      </c>
    </row>
    <row r="10" spans="2:13" x14ac:dyDescent="0.3">
      <c r="I10">
        <f t="shared" si="0"/>
        <v>0</v>
      </c>
    </row>
    <row r="11" spans="2:13" x14ac:dyDescent="0.3">
      <c r="B11" t="s">
        <v>19</v>
      </c>
      <c r="C11" t="s">
        <v>20</v>
      </c>
      <c r="H11">
        <v>-3.468</v>
      </c>
      <c r="I11">
        <f t="shared" si="0"/>
        <v>-5.5266741599999999E-3</v>
      </c>
      <c r="M11">
        <f>(I11-I3)*27.211407953</f>
        <v>0.59678422993062774</v>
      </c>
    </row>
    <row r="12" spans="2:13" x14ac:dyDescent="0.3">
      <c r="I12">
        <f t="shared" si="0"/>
        <v>0</v>
      </c>
      <c r="M12">
        <f t="shared" ref="M12:M16" si="1">(I12-I4)*27.211407953</f>
        <v>0</v>
      </c>
    </row>
    <row r="13" spans="2:13" x14ac:dyDescent="0.3">
      <c r="B13" t="s">
        <v>21</v>
      </c>
      <c r="C13" t="s">
        <v>22</v>
      </c>
      <c r="H13">
        <v>-2.4590000000000001</v>
      </c>
      <c r="I13">
        <f t="shared" si="0"/>
        <v>-3.9187115800000004E-3</v>
      </c>
      <c r="M13">
        <f>(I13-I3)*27.211407953</f>
        <v>0.6405391556681661</v>
      </c>
    </row>
    <row r="14" spans="2:13" x14ac:dyDescent="0.3">
      <c r="I14">
        <f t="shared" si="0"/>
        <v>0</v>
      </c>
      <c r="M14">
        <f t="shared" si="1"/>
        <v>0</v>
      </c>
    </row>
    <row r="15" spans="2:13" x14ac:dyDescent="0.3">
      <c r="B15" t="s">
        <v>23</v>
      </c>
      <c r="C15" t="s">
        <v>24</v>
      </c>
      <c r="H15">
        <v>-18.75</v>
      </c>
      <c r="I15">
        <f t="shared" si="0"/>
        <v>-2.9880375000000001E-2</v>
      </c>
      <c r="M15">
        <f>(I15-I3)*27.211407953</f>
        <v>-6.5914258791930969E-2</v>
      </c>
    </row>
    <row r="16" spans="2:13" x14ac:dyDescent="0.3">
      <c r="M16">
        <f t="shared" si="1"/>
        <v>0</v>
      </c>
    </row>
    <row r="17" spans="2:13" x14ac:dyDescent="0.3">
      <c r="B17" t="s">
        <v>25</v>
      </c>
      <c r="C17" t="s">
        <v>26</v>
      </c>
      <c r="H17">
        <v>-13.637</v>
      </c>
      <c r="I17">
        <f>H17*0.00159362</f>
        <v>-2.1732195940000001E-2</v>
      </c>
      <c r="M17">
        <f>(I17-I3)*27.211407953</f>
        <v>0.15580916568382108</v>
      </c>
    </row>
    <row r="18" spans="2:13" x14ac:dyDescent="0.3">
      <c r="M18">
        <f t="shared" ref="M18:M48" si="2">(I18-I6)*27.211407953</f>
        <v>0</v>
      </c>
    </row>
    <row r="19" spans="2:13" x14ac:dyDescent="0.3">
      <c r="B19" t="s">
        <v>52</v>
      </c>
      <c r="C19" t="s">
        <v>28</v>
      </c>
      <c r="H19">
        <v>1.093</v>
      </c>
      <c r="I19">
        <f>H19*0.00159362</f>
        <v>1.7418266599999999E-3</v>
      </c>
      <c r="M19">
        <f>(I19-I3)*27.211407953</f>
        <v>0.79457037095036287</v>
      </c>
    </row>
    <row r="20" spans="2:13" x14ac:dyDescent="0.3">
      <c r="I20">
        <f t="shared" ref="I20:I52" si="3">H20*0.00159362</f>
        <v>0</v>
      </c>
      <c r="M20">
        <f t="shared" si="2"/>
        <v>0</v>
      </c>
    </row>
    <row r="21" spans="2:13" x14ac:dyDescent="0.3">
      <c r="B21" t="s">
        <v>53</v>
      </c>
      <c r="C21" t="s">
        <v>29</v>
      </c>
      <c r="H21">
        <v>3.383</v>
      </c>
      <c r="I21">
        <f t="shared" si="3"/>
        <v>5.3912164599999998E-3</v>
      </c>
      <c r="M21">
        <f>(I21-I3)*27.211407953</f>
        <v>0.89387540557767986</v>
      </c>
    </row>
    <row r="22" spans="2:13" x14ac:dyDescent="0.3">
      <c r="I22">
        <f t="shared" si="3"/>
        <v>0</v>
      </c>
      <c r="M22">
        <f t="shared" si="2"/>
        <v>0</v>
      </c>
    </row>
    <row r="23" spans="2:13" x14ac:dyDescent="0.3">
      <c r="B23" t="s">
        <v>62</v>
      </c>
      <c r="C23" t="s">
        <v>31</v>
      </c>
      <c r="H23">
        <v>-0.69599999999999995</v>
      </c>
      <c r="I23">
        <f t="shared" si="3"/>
        <v>-1.1091595199999998E-3</v>
      </c>
      <c r="M23">
        <f>(I23-I3)*27.211407953</f>
        <v>0.71699102293801775</v>
      </c>
    </row>
    <row r="24" spans="2:13" x14ac:dyDescent="0.3">
      <c r="I24">
        <f t="shared" si="3"/>
        <v>0</v>
      </c>
      <c r="M24">
        <f t="shared" si="2"/>
        <v>0</v>
      </c>
    </row>
    <row r="25" spans="2:13" x14ac:dyDescent="0.3">
      <c r="B25" t="s">
        <v>61</v>
      </c>
      <c r="C25" t="s">
        <v>34</v>
      </c>
      <c r="H25">
        <v>-22.094999999999999</v>
      </c>
      <c r="I25">
        <f t="shared" si="3"/>
        <v>-3.5211033900000001E-2</v>
      </c>
      <c r="M25">
        <f>(I25-I3)*27.211407953</f>
        <v>-0.2109689927781212</v>
      </c>
    </row>
    <row r="26" spans="2:13" x14ac:dyDescent="0.3">
      <c r="I26">
        <f t="shared" si="3"/>
        <v>0</v>
      </c>
      <c r="M26">
        <f t="shared" si="2"/>
        <v>0</v>
      </c>
    </row>
    <row r="27" spans="2:13" x14ac:dyDescent="0.3">
      <c r="B27" t="s">
        <v>59</v>
      </c>
      <c r="C27" t="s">
        <v>40</v>
      </c>
      <c r="H27">
        <v>-6.1639999999999997</v>
      </c>
      <c r="I27">
        <f t="shared" si="3"/>
        <v>-9.8230736799999989E-3</v>
      </c>
      <c r="M27">
        <f>(I27-I3)*27.211407953</f>
        <v>0.47987314986283447</v>
      </c>
    </row>
    <row r="28" spans="2:13" x14ac:dyDescent="0.3">
      <c r="I28">
        <f t="shared" si="3"/>
        <v>0</v>
      </c>
      <c r="M28">
        <f t="shared" si="2"/>
        <v>0</v>
      </c>
    </row>
    <row r="29" spans="2:13" x14ac:dyDescent="0.3">
      <c r="B29" t="s">
        <v>60</v>
      </c>
      <c r="C29" t="s">
        <v>37</v>
      </c>
      <c r="H29">
        <v>-10.093999999999999</v>
      </c>
      <c r="I29">
        <f t="shared" si="3"/>
        <v>-1.6086000279999998E-2</v>
      </c>
      <c r="M29">
        <f>(I29-I3)*27.211407953</f>
        <v>0.30945009917053923</v>
      </c>
    </row>
    <row r="30" spans="2:13" x14ac:dyDescent="0.3">
      <c r="I30">
        <f t="shared" si="3"/>
        <v>0</v>
      </c>
      <c r="M30">
        <f t="shared" si="2"/>
        <v>0</v>
      </c>
    </row>
    <row r="31" spans="2:13" x14ac:dyDescent="0.3">
      <c r="B31" t="s">
        <v>38</v>
      </c>
      <c r="C31" t="s">
        <v>39</v>
      </c>
      <c r="H31">
        <v>-8.9339999999999993</v>
      </c>
      <c r="I31">
        <f t="shared" si="3"/>
        <v>-1.4237401079999998E-2</v>
      </c>
      <c r="M31">
        <f>(I31-I3)*27.211407953</f>
        <v>0.35975308614332868</v>
      </c>
    </row>
    <row r="32" spans="2:13" x14ac:dyDescent="0.3">
      <c r="I32">
        <f t="shared" si="3"/>
        <v>0</v>
      </c>
      <c r="M32">
        <f t="shared" si="2"/>
        <v>0</v>
      </c>
    </row>
    <row r="33" spans="2:13" x14ac:dyDescent="0.3">
      <c r="B33" t="s">
        <v>42</v>
      </c>
      <c r="C33" t="s">
        <v>41</v>
      </c>
      <c r="H33">
        <v>6.4820000000000002</v>
      </c>
      <c r="I33">
        <f t="shared" si="3"/>
        <v>1.032984484E-2</v>
      </c>
      <c r="M33">
        <f>(I33-I3)*27.211407953</f>
        <v>1.0282624371541234</v>
      </c>
    </row>
    <row r="34" spans="2:13" x14ac:dyDescent="0.3">
      <c r="I34">
        <f t="shared" si="3"/>
        <v>0</v>
      </c>
      <c r="M34">
        <f t="shared" si="2"/>
        <v>0</v>
      </c>
    </row>
    <row r="35" spans="2:13" x14ac:dyDescent="0.3">
      <c r="C35" t="s">
        <v>54</v>
      </c>
      <c r="I35">
        <f t="shared" si="3"/>
        <v>0</v>
      </c>
    </row>
    <row r="36" spans="2:13" x14ac:dyDescent="0.3">
      <c r="I36">
        <f t="shared" si="3"/>
        <v>0</v>
      </c>
      <c r="M36">
        <f t="shared" si="2"/>
        <v>0</v>
      </c>
    </row>
    <row r="37" spans="2:13" x14ac:dyDescent="0.3">
      <c r="B37" t="s">
        <v>63</v>
      </c>
      <c r="C37" t="s">
        <v>43</v>
      </c>
      <c r="H37">
        <v>-17.681000000000001</v>
      </c>
      <c r="I37">
        <f t="shared" si="3"/>
        <v>-2.8176795220000002E-2</v>
      </c>
      <c r="M37">
        <f>(I37-I3)*27.211407953</f>
        <v>-1.9557454417869016E-2</v>
      </c>
    </row>
    <row r="38" spans="2:13" x14ac:dyDescent="0.3">
      <c r="I38">
        <f t="shared" si="3"/>
        <v>0</v>
      </c>
      <c r="M38">
        <f t="shared" si="2"/>
        <v>0</v>
      </c>
    </row>
    <row r="39" spans="2:13" x14ac:dyDescent="0.3">
      <c r="B39" t="s">
        <v>64</v>
      </c>
      <c r="C39" t="s">
        <v>45</v>
      </c>
      <c r="H39">
        <v>-2.8010000000000002</v>
      </c>
      <c r="I39">
        <f t="shared" si="3"/>
        <v>-4.4637296200000006E-3</v>
      </c>
      <c r="M39">
        <f>(I39-I3)*27.211407953</f>
        <v>0.62570844743998166</v>
      </c>
    </row>
    <row r="40" spans="2:13" x14ac:dyDescent="0.3">
      <c r="I40">
        <f t="shared" si="3"/>
        <v>0</v>
      </c>
      <c r="M40">
        <f t="shared" si="2"/>
        <v>0</v>
      </c>
    </row>
    <row r="41" spans="2:13" x14ac:dyDescent="0.3">
      <c r="C41" t="s">
        <v>47</v>
      </c>
      <c r="I41">
        <f t="shared" si="3"/>
        <v>0</v>
      </c>
    </row>
    <row r="42" spans="2:13" x14ac:dyDescent="0.3">
      <c r="I42">
        <f t="shared" si="3"/>
        <v>0</v>
      </c>
      <c r="M42">
        <f t="shared" si="2"/>
        <v>0</v>
      </c>
    </row>
    <row r="43" spans="2:13" x14ac:dyDescent="0.3">
      <c r="B43" t="s">
        <v>65</v>
      </c>
      <c r="C43" t="s">
        <v>48</v>
      </c>
      <c r="H43">
        <v>-10.247</v>
      </c>
      <c r="I43">
        <f t="shared" si="3"/>
        <v>-1.6329824140000001E-2</v>
      </c>
      <c r="M43">
        <f>(I43-I3)*27.211407953</f>
        <v>0.30281530864740397</v>
      </c>
    </row>
    <row r="44" spans="2:13" x14ac:dyDescent="0.3">
      <c r="I44">
        <f t="shared" si="3"/>
        <v>0</v>
      </c>
      <c r="M44">
        <f t="shared" si="2"/>
        <v>0</v>
      </c>
    </row>
    <row r="46" spans="2:13" x14ac:dyDescent="0.3">
      <c r="I46">
        <f t="shared" si="3"/>
        <v>0</v>
      </c>
      <c r="M46">
        <f t="shared" si="2"/>
        <v>0</v>
      </c>
    </row>
    <row r="47" spans="2:13" x14ac:dyDescent="0.3">
      <c r="B47" t="s">
        <v>56</v>
      </c>
      <c r="C47" t="s">
        <v>57</v>
      </c>
      <c r="H47">
        <v>4.7050000000000001</v>
      </c>
      <c r="I47">
        <f t="shared" si="3"/>
        <v>7.4979820999999999E-3</v>
      </c>
      <c r="M47">
        <f>(I47-I3)*27.211407953</f>
        <v>0.95120346486908303</v>
      </c>
    </row>
    <row r="48" spans="2:13" x14ac:dyDescent="0.3">
      <c r="I48">
        <f t="shared" si="3"/>
        <v>0</v>
      </c>
      <c r="M48">
        <f t="shared" si="2"/>
        <v>0</v>
      </c>
    </row>
    <row r="49" spans="2:13" x14ac:dyDescent="0.3">
      <c r="B49" t="s">
        <v>66</v>
      </c>
      <c r="C49" t="s">
        <v>50</v>
      </c>
      <c r="H49">
        <v>-5.3650000000000002</v>
      </c>
      <c r="I49">
        <f t="shared" si="3"/>
        <v>-8.5497712999999999E-3</v>
      </c>
      <c r="M49">
        <f>(I49-I3)*27.211407953</f>
        <v>0.51452150037254019</v>
      </c>
    </row>
    <row r="50" spans="2:13" x14ac:dyDescent="0.3">
      <c r="I50">
        <f t="shared" si="3"/>
        <v>0</v>
      </c>
      <c r="M50">
        <f t="shared" ref="M50:M52" si="4">(I50-I34)*27.211407953</f>
        <v>0</v>
      </c>
    </row>
    <row r="52" spans="2:13" x14ac:dyDescent="0.3">
      <c r="I52">
        <f t="shared" si="3"/>
        <v>0</v>
      </c>
      <c r="M52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2673-4BA3-4E5E-95C6-296968FE40FB}">
  <dimension ref="B1:M52"/>
  <sheetViews>
    <sheetView topLeftCell="B51" zoomScale="109" workbookViewId="0">
      <selection activeCell="M33" sqref="M33"/>
    </sheetView>
  </sheetViews>
  <sheetFormatPr defaultRowHeight="14.4" x14ac:dyDescent="0.3"/>
  <cols>
    <col min="2" max="2" width="20.5546875" customWidth="1"/>
    <col min="3" max="3" width="12.109375" customWidth="1"/>
    <col min="4" max="4" width="0.109375" hidden="1" customWidth="1"/>
    <col min="5" max="5" width="1.77734375" customWidth="1"/>
    <col min="6" max="6" width="1.21875" customWidth="1"/>
    <col min="7" max="7" width="0.88671875" customWidth="1"/>
    <col min="8" max="8" width="15.44140625" customWidth="1"/>
    <col min="9" max="9" width="16.77734375" customWidth="1"/>
    <col min="10" max="10" width="2.21875" customWidth="1"/>
    <col min="11" max="11" width="1.6640625" customWidth="1"/>
    <col min="12" max="12" width="3.6640625" customWidth="1"/>
    <col min="13" max="13" width="13.109375" customWidth="1"/>
  </cols>
  <sheetData>
    <row r="1" spans="2:13" x14ac:dyDescent="0.3">
      <c r="B1" t="s">
        <v>0</v>
      </c>
      <c r="C1" t="s">
        <v>1</v>
      </c>
      <c r="H1" t="s">
        <v>5</v>
      </c>
      <c r="I1" t="s">
        <v>6</v>
      </c>
      <c r="K1" s="1"/>
      <c r="L1" s="1"/>
      <c r="M1" s="1" t="s">
        <v>30</v>
      </c>
    </row>
    <row r="3" spans="2:13" x14ac:dyDescent="0.3">
      <c r="B3" t="s">
        <v>14</v>
      </c>
      <c r="C3" t="s">
        <v>10</v>
      </c>
      <c r="H3">
        <v>-18.106999999999999</v>
      </c>
      <c r="I3">
        <f>H3*0.00159362</f>
        <v>-2.885567734E-2</v>
      </c>
    </row>
    <row r="4" spans="2:13" x14ac:dyDescent="0.3">
      <c r="I4">
        <f t="shared" ref="I4:I15" si="0">H4*0.00159362</f>
        <v>0</v>
      </c>
    </row>
    <row r="5" spans="2:13" x14ac:dyDescent="0.3">
      <c r="B5" t="s">
        <v>15</v>
      </c>
      <c r="C5" t="s">
        <v>12</v>
      </c>
      <c r="H5">
        <v>-15.331</v>
      </c>
      <c r="I5">
        <f t="shared" si="0"/>
        <v>-2.443178822E-2</v>
      </c>
      <c r="M5">
        <f>(I5-I3)*27.211407953</f>
        <v>0.12038025158315815</v>
      </c>
    </row>
    <row r="6" spans="2:13" x14ac:dyDescent="0.3">
      <c r="I6">
        <f t="shared" si="0"/>
        <v>0</v>
      </c>
    </row>
    <row r="7" spans="2:13" x14ac:dyDescent="0.3">
      <c r="B7" t="s">
        <v>16</v>
      </c>
      <c r="C7" t="s">
        <v>13</v>
      </c>
      <c r="H7">
        <v>-12.962999999999999</v>
      </c>
      <c r="I7">
        <f t="shared" si="0"/>
        <v>-2.0658096059999999E-2</v>
      </c>
      <c r="M7">
        <f>(I7-I3)*27.211407953</f>
        <v>0.22306772843795594</v>
      </c>
    </row>
    <row r="8" spans="2:13" x14ac:dyDescent="0.3">
      <c r="I8">
        <f t="shared" si="0"/>
        <v>0</v>
      </c>
    </row>
    <row r="9" spans="2:13" x14ac:dyDescent="0.3">
      <c r="B9" t="s">
        <v>17</v>
      </c>
      <c r="C9" t="s">
        <v>18</v>
      </c>
      <c r="H9">
        <v>-24.434000000000001</v>
      </c>
      <c r="I9">
        <f t="shared" si="0"/>
        <v>-3.8938511080000002E-2</v>
      </c>
      <c r="M9">
        <f>(I9-I3)*27.211407953</f>
        <v>-0.27436810222141278</v>
      </c>
    </row>
    <row r="10" spans="2:13" x14ac:dyDescent="0.3">
      <c r="I10">
        <f t="shared" si="0"/>
        <v>0</v>
      </c>
    </row>
    <row r="11" spans="2:13" x14ac:dyDescent="0.3">
      <c r="B11" t="s">
        <v>19</v>
      </c>
      <c r="C11" t="s">
        <v>20</v>
      </c>
      <c r="H11">
        <v>-18.536999999999999</v>
      </c>
      <c r="I11">
        <f t="shared" si="0"/>
        <v>-2.954093394E-2</v>
      </c>
      <c r="M11">
        <f>(I11-I3)*27.211407953</f>
        <v>-1.8646796895085731E-2</v>
      </c>
    </row>
    <row r="12" spans="2:13" x14ac:dyDescent="0.3">
      <c r="I12">
        <f t="shared" si="0"/>
        <v>0</v>
      </c>
      <c r="M12">
        <f t="shared" ref="M12:M16" si="1">(I12-I4)*27.211407953</f>
        <v>0</v>
      </c>
    </row>
    <row r="13" spans="2:13" x14ac:dyDescent="0.3">
      <c r="B13" t="s">
        <v>21</v>
      </c>
      <c r="C13" t="s">
        <v>22</v>
      </c>
      <c r="H13">
        <v>-7.3630000000000004</v>
      </c>
      <c r="I13">
        <f t="shared" si="0"/>
        <v>-1.173382406E-2</v>
      </c>
      <c r="M13">
        <f>(I13-I3)*27.211407953</f>
        <v>0.46590973451349116</v>
      </c>
    </row>
    <row r="14" spans="2:13" x14ac:dyDescent="0.3">
      <c r="I14">
        <f t="shared" si="0"/>
        <v>0</v>
      </c>
      <c r="M14">
        <f t="shared" si="1"/>
        <v>0</v>
      </c>
    </row>
    <row r="15" spans="2:13" x14ac:dyDescent="0.3">
      <c r="B15" t="s">
        <v>23</v>
      </c>
      <c r="C15" t="s">
        <v>24</v>
      </c>
      <c r="H15">
        <v>-19.198</v>
      </c>
      <c r="I15">
        <f t="shared" si="0"/>
        <v>-3.059431676E-2</v>
      </c>
      <c r="M15">
        <f>(I15-I3)*27.211407953</f>
        <v>-4.7310826540787311E-2</v>
      </c>
    </row>
    <row r="16" spans="2:13" x14ac:dyDescent="0.3">
      <c r="M16">
        <f t="shared" si="1"/>
        <v>0</v>
      </c>
    </row>
    <row r="17" spans="2:13" x14ac:dyDescent="0.3">
      <c r="B17" t="s">
        <v>25</v>
      </c>
      <c r="C17" t="s">
        <v>26</v>
      </c>
      <c r="H17">
        <v>-21.635000000000002</v>
      </c>
      <c r="I17">
        <f>H17*0.00159362</f>
        <v>-3.44779687E-2</v>
      </c>
      <c r="M17">
        <f>(I17-I3)*27.211407953</f>
        <v>-0.15299046382758719</v>
      </c>
    </row>
    <row r="18" spans="2:13" x14ac:dyDescent="0.3">
      <c r="M18">
        <f t="shared" ref="M18:M48" si="2">(I18-I6)*27.211407953</f>
        <v>0</v>
      </c>
    </row>
    <row r="19" spans="2:13" x14ac:dyDescent="0.3">
      <c r="B19" t="s">
        <v>52</v>
      </c>
      <c r="C19" t="s">
        <v>28</v>
      </c>
      <c r="H19">
        <v>-2.1680000000000001</v>
      </c>
      <c r="I19">
        <f>H19*0.00159362</f>
        <v>-3.4549681600000003E-3</v>
      </c>
      <c r="M19">
        <f>(I19-I3)*27.211407953</f>
        <v>0.69118905979249212</v>
      </c>
    </row>
    <row r="20" spans="2:13" x14ac:dyDescent="0.3">
      <c r="I20">
        <f t="shared" ref="I20:I52" si="3">H20*0.00159362</f>
        <v>0</v>
      </c>
      <c r="M20">
        <f t="shared" si="2"/>
        <v>0</v>
      </c>
    </row>
    <row r="21" spans="2:13" x14ac:dyDescent="0.3">
      <c r="B21" t="s">
        <v>53</v>
      </c>
      <c r="C21" t="s">
        <v>29</v>
      </c>
      <c r="H21">
        <v>-1.528</v>
      </c>
      <c r="I21">
        <f t="shared" si="3"/>
        <v>-2.43505136E-3</v>
      </c>
      <c r="M21">
        <f>(I21-I3)*27.211407953</f>
        <v>0.71894243191541041</v>
      </c>
    </row>
    <row r="22" spans="2:13" x14ac:dyDescent="0.3">
      <c r="I22">
        <f t="shared" si="3"/>
        <v>0</v>
      </c>
      <c r="M22">
        <f t="shared" si="2"/>
        <v>0</v>
      </c>
    </row>
    <row r="23" spans="2:13" x14ac:dyDescent="0.3">
      <c r="B23" t="s">
        <v>62</v>
      </c>
      <c r="C23" t="s">
        <v>31</v>
      </c>
      <c r="H23">
        <v>-5.28</v>
      </c>
      <c r="I23">
        <f t="shared" si="3"/>
        <v>-8.4143136000000007E-3</v>
      </c>
      <c r="M23">
        <f>(I23-I3)*27.211407953</f>
        <v>0.55623828784480178</v>
      </c>
    </row>
    <row r="24" spans="2:13" x14ac:dyDescent="0.3">
      <c r="I24">
        <f t="shared" si="3"/>
        <v>0</v>
      </c>
      <c r="M24">
        <f t="shared" si="2"/>
        <v>0</v>
      </c>
    </row>
    <row r="25" spans="2:13" x14ac:dyDescent="0.3">
      <c r="B25" t="s">
        <v>61</v>
      </c>
      <c r="C25" t="s">
        <v>34</v>
      </c>
      <c r="H25">
        <v>-26.81</v>
      </c>
      <c r="I25">
        <f t="shared" si="3"/>
        <v>-4.2724952199999999E-2</v>
      </c>
      <c r="M25">
        <f>(I25-I3)*27.211407953</f>
        <v>-0.37740249622774691</v>
      </c>
    </row>
    <row r="26" spans="2:13" x14ac:dyDescent="0.3">
      <c r="I26">
        <f t="shared" si="3"/>
        <v>0</v>
      </c>
      <c r="M26">
        <f t="shared" si="2"/>
        <v>0</v>
      </c>
    </row>
    <row r="27" spans="2:13" x14ac:dyDescent="0.3">
      <c r="B27" t="s">
        <v>59</v>
      </c>
      <c r="C27" t="s">
        <v>40</v>
      </c>
      <c r="H27">
        <v>-11.865</v>
      </c>
      <c r="I27">
        <f t="shared" si="3"/>
        <v>-1.8908301299999999E-2</v>
      </c>
      <c r="M27">
        <f>(I27-I3)*27.211407953</f>
        <v>0.27068210748633764</v>
      </c>
    </row>
    <row r="28" spans="2:13" x14ac:dyDescent="0.3">
      <c r="I28">
        <f t="shared" si="3"/>
        <v>0</v>
      </c>
      <c r="M28">
        <f t="shared" si="2"/>
        <v>0</v>
      </c>
    </row>
    <row r="29" spans="2:13" x14ac:dyDescent="0.3">
      <c r="B29" t="s">
        <v>60</v>
      </c>
      <c r="C29" t="s">
        <v>37</v>
      </c>
      <c r="H29">
        <v>-11.069000000000001</v>
      </c>
      <c r="I29">
        <f t="shared" si="3"/>
        <v>-1.763977978E-2</v>
      </c>
      <c r="M29">
        <f>(I29-I3)*27.211407953</f>
        <v>0.3052003640642173</v>
      </c>
    </row>
    <row r="30" spans="2:13" x14ac:dyDescent="0.3">
      <c r="I30">
        <f t="shared" si="3"/>
        <v>0</v>
      </c>
      <c r="M30">
        <f t="shared" si="2"/>
        <v>0</v>
      </c>
    </row>
    <row r="31" spans="2:13" x14ac:dyDescent="0.3">
      <c r="B31" t="s">
        <v>38</v>
      </c>
      <c r="C31" t="s">
        <v>39</v>
      </c>
      <c r="H31">
        <v>-8.9339999999999993</v>
      </c>
      <c r="I31">
        <f t="shared" si="3"/>
        <v>-1.4237401079999998E-2</v>
      </c>
      <c r="M31">
        <f>(I31-I3)*27.211407953</f>
        <v>0.39778387888051514</v>
      </c>
    </row>
    <row r="32" spans="2:13" x14ac:dyDescent="0.3">
      <c r="I32">
        <f t="shared" si="3"/>
        <v>0</v>
      </c>
      <c r="M32">
        <f t="shared" si="2"/>
        <v>0</v>
      </c>
    </row>
    <row r="33" spans="2:13" x14ac:dyDescent="0.3">
      <c r="B33" t="s">
        <v>42</v>
      </c>
      <c r="C33" t="s">
        <v>41</v>
      </c>
      <c r="H33">
        <v>4.0469999999999997</v>
      </c>
      <c r="I33">
        <f t="shared" si="3"/>
        <v>6.4493801399999997E-3</v>
      </c>
      <c r="M33">
        <f>(I33-I3)*27.211407953</f>
        <v>0.96070032189239407</v>
      </c>
    </row>
    <row r="34" spans="2:13" x14ac:dyDescent="0.3">
      <c r="I34">
        <f t="shared" si="3"/>
        <v>0</v>
      </c>
      <c r="M34">
        <f t="shared" si="2"/>
        <v>0</v>
      </c>
    </row>
    <row r="35" spans="2:13" x14ac:dyDescent="0.3">
      <c r="C35" t="s">
        <v>54</v>
      </c>
      <c r="I35">
        <f t="shared" si="3"/>
        <v>0</v>
      </c>
    </row>
    <row r="36" spans="2:13" x14ac:dyDescent="0.3">
      <c r="I36">
        <f t="shared" si="3"/>
        <v>0</v>
      </c>
      <c r="M36">
        <f t="shared" si="2"/>
        <v>0</v>
      </c>
    </row>
    <row r="37" spans="2:13" x14ac:dyDescent="0.3">
      <c r="B37" t="s">
        <v>63</v>
      </c>
      <c r="C37" t="s">
        <v>43</v>
      </c>
      <c r="H37">
        <v>-23.021999999999998</v>
      </c>
      <c r="I37">
        <f t="shared" si="3"/>
        <v>-3.6688319640000001E-2</v>
      </c>
      <c r="M37">
        <f>(I37-I3)*27.211407953</f>
        <v>-0.21313722497522422</v>
      </c>
    </row>
    <row r="38" spans="2:13" x14ac:dyDescent="0.3">
      <c r="I38">
        <f t="shared" si="3"/>
        <v>0</v>
      </c>
      <c r="M38">
        <f t="shared" si="2"/>
        <v>0</v>
      </c>
    </row>
    <row r="39" spans="2:13" x14ac:dyDescent="0.3">
      <c r="B39" t="s">
        <v>64</v>
      </c>
      <c r="C39" t="s">
        <v>45</v>
      </c>
      <c r="H39">
        <v>-7.0709999999999997</v>
      </c>
      <c r="I39">
        <f t="shared" si="3"/>
        <v>-1.1268487020000001E-2</v>
      </c>
      <c r="M39">
        <f>(I39-I3)*27.211407953</f>
        <v>0.47857221054457261</v>
      </c>
    </row>
    <row r="40" spans="2:13" x14ac:dyDescent="0.3">
      <c r="I40">
        <f t="shared" si="3"/>
        <v>0</v>
      </c>
      <c r="M40">
        <f t="shared" si="2"/>
        <v>0</v>
      </c>
    </row>
    <row r="41" spans="2:13" x14ac:dyDescent="0.3">
      <c r="C41" t="s">
        <v>47</v>
      </c>
      <c r="I41">
        <f t="shared" si="3"/>
        <v>0</v>
      </c>
    </row>
    <row r="42" spans="2:13" x14ac:dyDescent="0.3">
      <c r="I42">
        <f t="shared" si="3"/>
        <v>0</v>
      </c>
      <c r="M42">
        <f t="shared" si="2"/>
        <v>0</v>
      </c>
    </row>
    <row r="43" spans="2:13" x14ac:dyDescent="0.3">
      <c r="B43" t="s">
        <v>65</v>
      </c>
      <c r="C43" t="s">
        <v>48</v>
      </c>
      <c r="H43">
        <v>-17.244</v>
      </c>
      <c r="I43">
        <f t="shared" si="3"/>
        <v>-2.7480383279999999E-2</v>
      </c>
      <c r="M43">
        <f>(I43-I3)*27.211407953</f>
        <v>3.7423687721997674E-2</v>
      </c>
    </row>
    <row r="44" spans="2:13" x14ac:dyDescent="0.3">
      <c r="I44">
        <f t="shared" si="3"/>
        <v>0</v>
      </c>
      <c r="M44">
        <f t="shared" si="2"/>
        <v>0</v>
      </c>
    </row>
    <row r="46" spans="2:13" x14ac:dyDescent="0.3">
      <c r="I46">
        <f t="shared" si="3"/>
        <v>0</v>
      </c>
      <c r="M46">
        <f t="shared" si="2"/>
        <v>0</v>
      </c>
    </row>
    <row r="47" spans="2:13" x14ac:dyDescent="0.3">
      <c r="B47" t="s">
        <v>56</v>
      </c>
      <c r="C47" t="s">
        <v>57</v>
      </c>
      <c r="H47">
        <v>1.2410000000000001</v>
      </c>
      <c r="I47">
        <f t="shared" si="3"/>
        <v>1.9776824200000002E-3</v>
      </c>
      <c r="M47">
        <f>(I47-I3)*27.211407953</f>
        <v>0.83901913099097414</v>
      </c>
    </row>
    <row r="48" spans="2:13" x14ac:dyDescent="0.3">
      <c r="I48">
        <f t="shared" si="3"/>
        <v>0</v>
      </c>
      <c r="M48">
        <f t="shared" si="2"/>
        <v>0</v>
      </c>
    </row>
    <row r="49" spans="2:13" x14ac:dyDescent="0.3">
      <c r="B49" t="s">
        <v>66</v>
      </c>
      <c r="C49" t="s">
        <v>50</v>
      </c>
      <c r="H49">
        <v>0.316</v>
      </c>
      <c r="I49">
        <f t="shared" si="3"/>
        <v>5.0358392000000006E-4</v>
      </c>
      <c r="M49">
        <f>(I49-I3)*27.211407953</f>
        <v>0.79890683534456886</v>
      </c>
    </row>
    <row r="50" spans="2:13" x14ac:dyDescent="0.3">
      <c r="I50">
        <f t="shared" si="3"/>
        <v>0</v>
      </c>
      <c r="M50">
        <f t="shared" ref="M50:M52" si="4">(I50-I34)*27.211407953</f>
        <v>0</v>
      </c>
    </row>
    <row r="52" spans="2:13" x14ac:dyDescent="0.3">
      <c r="I52">
        <f t="shared" si="3"/>
        <v>0</v>
      </c>
      <c r="M52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 doped</vt:lpstr>
      <vt:lpstr>Sheet2</vt:lpstr>
      <vt:lpstr>Co Doped</vt:lpstr>
      <vt:lpstr>Ni Doped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2024-10-24T04:24:30Z</dcterms:created>
  <dcterms:modified xsi:type="dcterms:W3CDTF">2025-05-13T18:28:44Z</dcterms:modified>
</cp:coreProperties>
</file>