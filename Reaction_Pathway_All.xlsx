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2\EEE 400\MyPaper\"/>
    </mc:Choice>
  </mc:AlternateContent>
  <xr:revisionPtr revIDLastSave="0" documentId="13_ncr:1_{C94DA065-0E6C-478E-8578-628DE5CEDB42}" xr6:coauthVersionLast="36" xr6:coauthVersionMax="36" xr10:uidLastSave="{00000000-0000-0000-0000-000000000000}"/>
  <bookViews>
    <workbookView xWindow="0" yWindow="0" windowWidth="17256" windowHeight="5640" activeTab="6" xr2:uid="{C771BAE8-BC4E-407A-9A29-A2AF8CFE3AF2}"/>
  </bookViews>
  <sheets>
    <sheet name="Sheet1" sheetId="1" r:id="rId1"/>
    <sheet name="Fe_Doped" sheetId="2" r:id="rId2"/>
    <sheet name="Co_Doped" sheetId="3" r:id="rId3"/>
    <sheet name="Ni_Doped" sheetId="4" r:id="rId4"/>
    <sheet name="G_Calc" sheetId="6" r:id="rId5"/>
    <sheet name="RE_Ni" sheetId="5" r:id="rId6"/>
    <sheet name="Sheet2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9" i="6" l="1"/>
  <c r="D39" i="6"/>
  <c r="E39" i="6"/>
  <c r="F39" i="6" s="1"/>
  <c r="E38" i="6"/>
  <c r="F38" i="6"/>
  <c r="D38" i="6"/>
  <c r="C38" i="6"/>
  <c r="C37" i="6"/>
  <c r="D37" i="6"/>
  <c r="E37" i="6"/>
  <c r="F37" i="6" s="1"/>
  <c r="C36" i="6"/>
  <c r="D36" i="6"/>
  <c r="E36" i="6"/>
  <c r="F36" i="6" s="1"/>
  <c r="C35" i="6"/>
  <c r="D35" i="6"/>
  <c r="E35" i="6"/>
  <c r="F35" i="6" s="1"/>
  <c r="C34" i="6"/>
  <c r="D34" i="6"/>
  <c r="E34" i="6"/>
  <c r="F34" i="6" s="1"/>
  <c r="C33" i="6"/>
  <c r="D33" i="6"/>
  <c r="F33" i="6" s="1"/>
  <c r="E33" i="6"/>
  <c r="C32" i="6"/>
  <c r="D32" i="6"/>
  <c r="E32" i="6"/>
  <c r="F32" i="6" s="1"/>
  <c r="C31" i="6"/>
  <c r="D31" i="6"/>
  <c r="E31" i="6"/>
  <c r="F31" i="6"/>
  <c r="C30" i="6"/>
  <c r="D30" i="6"/>
  <c r="E30" i="6"/>
  <c r="F30" i="6" s="1"/>
  <c r="C29" i="6"/>
  <c r="D29" i="6"/>
  <c r="E29" i="6"/>
  <c r="F29" i="6" s="1"/>
  <c r="C28" i="6"/>
  <c r="D28" i="6"/>
  <c r="E28" i="6"/>
  <c r="F28" i="6" s="1"/>
  <c r="C27" i="6"/>
  <c r="D27" i="6"/>
  <c r="E27" i="6"/>
  <c r="F27" i="6" s="1"/>
  <c r="C26" i="6"/>
  <c r="D26" i="6"/>
  <c r="E26" i="6"/>
  <c r="C25" i="6"/>
  <c r="D25" i="6"/>
  <c r="E25" i="6"/>
  <c r="C24" i="6"/>
  <c r="D24" i="6"/>
  <c r="E24" i="6"/>
  <c r="E23" i="6"/>
  <c r="D23" i="6"/>
  <c r="C23" i="6"/>
  <c r="C18" i="6"/>
  <c r="C19" i="6"/>
  <c r="D19" i="6"/>
  <c r="E19" i="6"/>
  <c r="F19" i="6" s="1"/>
  <c r="D18" i="6"/>
  <c r="E18" i="6"/>
  <c r="C17" i="6"/>
  <c r="D17" i="6"/>
  <c r="E17" i="6"/>
  <c r="C16" i="6"/>
  <c r="D16" i="6"/>
  <c r="E16" i="6"/>
  <c r="E15" i="6"/>
  <c r="D15" i="6"/>
  <c r="C15" i="6"/>
  <c r="E14" i="6"/>
  <c r="D14" i="6"/>
  <c r="C14" i="6"/>
  <c r="C13" i="6"/>
  <c r="D13" i="6"/>
  <c r="E13" i="6"/>
  <c r="C12" i="6"/>
  <c r="D12" i="6"/>
  <c r="E12" i="6"/>
  <c r="C11" i="6"/>
  <c r="D11" i="6"/>
  <c r="E11" i="6"/>
  <c r="C10" i="6"/>
  <c r="D10" i="6"/>
  <c r="E10" i="6"/>
  <c r="C9" i="6"/>
  <c r="D9" i="6"/>
  <c r="E9" i="6"/>
  <c r="E8" i="6"/>
  <c r="D8" i="6"/>
  <c r="C8" i="6"/>
  <c r="C7" i="6"/>
  <c r="D7" i="6"/>
  <c r="E7" i="6"/>
  <c r="C6" i="6"/>
  <c r="D6" i="6"/>
  <c r="E6" i="6"/>
  <c r="C5" i="6"/>
  <c r="D5" i="6"/>
  <c r="E5" i="6"/>
  <c r="C4" i="6"/>
  <c r="D4" i="6"/>
  <c r="E4" i="6"/>
  <c r="E3" i="6"/>
  <c r="D3" i="6"/>
  <c r="C3" i="6"/>
  <c r="F23" i="6" l="1"/>
  <c r="F5" i="6"/>
  <c r="F3" i="6"/>
  <c r="F11" i="6"/>
  <c r="F6" i="6"/>
  <c r="F7" i="6"/>
  <c r="F13" i="6"/>
  <c r="F9" i="6"/>
  <c r="F15" i="6"/>
  <c r="F8" i="6"/>
  <c r="F12" i="6"/>
  <c r="F24" i="6"/>
  <c r="F4" i="6"/>
  <c r="F16" i="6"/>
  <c r="F10" i="6"/>
  <c r="F17" i="6"/>
  <c r="F14" i="6"/>
  <c r="F25" i="6"/>
  <c r="F18" i="6"/>
  <c r="F26" i="6"/>
  <c r="J49" i="1"/>
  <c r="J48" i="1"/>
  <c r="J49" i="4"/>
  <c r="K147" i="4" l="1"/>
  <c r="J147" i="4"/>
  <c r="J24" i="4" l="1"/>
  <c r="K4" i="4" l="1"/>
  <c r="I148" i="4"/>
  <c r="H148" i="4"/>
  <c r="K148" i="4" s="1"/>
  <c r="G148" i="4"/>
  <c r="J148" i="4" s="1"/>
  <c r="F148" i="4"/>
  <c r="H147" i="4"/>
  <c r="G147" i="4"/>
  <c r="F147" i="4"/>
  <c r="I147" i="4" s="1"/>
  <c r="K146" i="4"/>
  <c r="H146" i="4"/>
  <c r="G146" i="4"/>
  <c r="J146" i="4" s="1"/>
  <c r="F146" i="4"/>
  <c r="I146" i="4" s="1"/>
  <c r="H145" i="4"/>
  <c r="G145" i="4"/>
  <c r="F145" i="4"/>
  <c r="H133" i="4"/>
  <c r="K133" i="4" s="1"/>
  <c r="G133" i="4"/>
  <c r="J133" i="4" s="1"/>
  <c r="F133" i="4"/>
  <c r="I133" i="4" s="1"/>
  <c r="K132" i="4"/>
  <c r="J132" i="4"/>
  <c r="H132" i="4"/>
  <c r="G132" i="4"/>
  <c r="F132" i="4"/>
  <c r="I132" i="4" s="1"/>
  <c r="H131" i="4"/>
  <c r="G131" i="4"/>
  <c r="F131" i="4"/>
  <c r="K123" i="4"/>
  <c r="H123" i="4"/>
  <c r="G123" i="4"/>
  <c r="J123" i="4" s="1"/>
  <c r="F123" i="4"/>
  <c r="I123" i="4" s="1"/>
  <c r="K122" i="4"/>
  <c r="J122" i="4"/>
  <c r="I122" i="4"/>
  <c r="H122" i="4"/>
  <c r="G122" i="4"/>
  <c r="F122" i="4"/>
  <c r="I121" i="4"/>
  <c r="H121" i="4"/>
  <c r="K121" i="4" s="1"/>
  <c r="G121" i="4"/>
  <c r="J121" i="4" s="1"/>
  <c r="F121" i="4"/>
  <c r="H120" i="4"/>
  <c r="G120" i="4"/>
  <c r="F120" i="4"/>
  <c r="J116" i="4"/>
  <c r="I116" i="4"/>
  <c r="H116" i="4"/>
  <c r="K116" i="4" s="1"/>
  <c r="G116" i="4"/>
  <c r="F116" i="4"/>
  <c r="H115" i="4"/>
  <c r="G115" i="4"/>
  <c r="F115" i="4"/>
  <c r="K104" i="4"/>
  <c r="J104" i="4"/>
  <c r="I104" i="4"/>
  <c r="H104" i="4"/>
  <c r="G104" i="4"/>
  <c r="F104" i="4"/>
  <c r="H103" i="4"/>
  <c r="G103" i="4"/>
  <c r="F103" i="4"/>
  <c r="K97" i="4"/>
  <c r="J97" i="4"/>
  <c r="H97" i="4"/>
  <c r="G97" i="4"/>
  <c r="F97" i="4"/>
  <c r="I97" i="4" s="1"/>
  <c r="H96" i="4"/>
  <c r="G96" i="4"/>
  <c r="F96" i="4"/>
  <c r="K91" i="4"/>
  <c r="H91" i="4"/>
  <c r="G91" i="4"/>
  <c r="J91" i="4" s="1"/>
  <c r="F91" i="4"/>
  <c r="I91" i="4" s="1"/>
  <c r="K90" i="4"/>
  <c r="J90" i="4"/>
  <c r="I90" i="4"/>
  <c r="H90" i="4"/>
  <c r="G90" i="4"/>
  <c r="F90" i="4"/>
  <c r="H89" i="4"/>
  <c r="G89" i="4"/>
  <c r="F89" i="4"/>
  <c r="K84" i="4"/>
  <c r="J84" i="4"/>
  <c r="H84" i="4"/>
  <c r="G84" i="4"/>
  <c r="F84" i="4"/>
  <c r="I84" i="4" s="1"/>
  <c r="J83" i="4"/>
  <c r="I83" i="4"/>
  <c r="H83" i="4"/>
  <c r="K83" i="4" s="1"/>
  <c r="G83" i="4"/>
  <c r="F83" i="4"/>
  <c r="H82" i="4"/>
  <c r="G82" i="4"/>
  <c r="F82" i="4"/>
  <c r="K74" i="4"/>
  <c r="J74" i="4"/>
  <c r="I74" i="4"/>
  <c r="H74" i="4"/>
  <c r="G74" i="4"/>
  <c r="F74" i="4"/>
  <c r="I73" i="4"/>
  <c r="H73" i="4"/>
  <c r="K73" i="4" s="1"/>
  <c r="G73" i="4"/>
  <c r="J73" i="4" s="1"/>
  <c r="F73" i="4"/>
  <c r="H72" i="4"/>
  <c r="K72" i="4" s="1"/>
  <c r="G72" i="4"/>
  <c r="J72" i="4" s="1"/>
  <c r="F72" i="4"/>
  <c r="I72" i="4" s="1"/>
  <c r="H71" i="4"/>
  <c r="G71" i="4"/>
  <c r="F71" i="4"/>
  <c r="H65" i="4"/>
  <c r="K65" i="4" s="1"/>
  <c r="G65" i="4"/>
  <c r="J65" i="4" s="1"/>
  <c r="F65" i="4"/>
  <c r="I65" i="4" s="1"/>
  <c r="H64" i="4"/>
  <c r="K64" i="4" s="1"/>
  <c r="G64" i="4"/>
  <c r="J64" i="4" s="1"/>
  <c r="F64" i="4"/>
  <c r="I64" i="4" s="1"/>
  <c r="K63" i="4"/>
  <c r="J63" i="4"/>
  <c r="H63" i="4"/>
  <c r="G63" i="4"/>
  <c r="F63" i="4"/>
  <c r="I63" i="4" s="1"/>
  <c r="H62" i="4"/>
  <c r="G62" i="4"/>
  <c r="F62" i="4"/>
  <c r="K56" i="4"/>
  <c r="H56" i="4"/>
  <c r="G56" i="4"/>
  <c r="J56" i="4" s="1"/>
  <c r="F56" i="4"/>
  <c r="I56" i="4" s="1"/>
  <c r="K55" i="4"/>
  <c r="J55" i="4"/>
  <c r="I55" i="4"/>
  <c r="H55" i="4"/>
  <c r="G55" i="4"/>
  <c r="F55" i="4"/>
  <c r="I54" i="4"/>
  <c r="H54" i="4"/>
  <c r="K54" i="4" s="1"/>
  <c r="G54" i="4"/>
  <c r="J54" i="4" s="1"/>
  <c r="F54" i="4"/>
  <c r="H53" i="4"/>
  <c r="G53" i="4"/>
  <c r="F53" i="4"/>
  <c r="I49" i="4"/>
  <c r="H49" i="4"/>
  <c r="K49" i="4" s="1"/>
  <c r="G49" i="4"/>
  <c r="F49" i="4"/>
  <c r="H48" i="4"/>
  <c r="K48" i="4" s="1"/>
  <c r="G48" i="4"/>
  <c r="J48" i="4" s="1"/>
  <c r="F48" i="4"/>
  <c r="I48" i="4" s="1"/>
  <c r="H47" i="4"/>
  <c r="G47" i="4"/>
  <c r="F47" i="4"/>
  <c r="I42" i="4"/>
  <c r="H42" i="4"/>
  <c r="K42" i="4" s="1"/>
  <c r="G42" i="4"/>
  <c r="J42" i="4" s="1"/>
  <c r="F42" i="4"/>
  <c r="H41" i="4"/>
  <c r="G41" i="4"/>
  <c r="F41" i="4"/>
  <c r="J37" i="4"/>
  <c r="I37" i="4"/>
  <c r="H37" i="4"/>
  <c r="K37" i="4" s="1"/>
  <c r="G37" i="4"/>
  <c r="F37" i="4"/>
  <c r="H36" i="4"/>
  <c r="K36" i="4" s="1"/>
  <c r="G36" i="4"/>
  <c r="J36" i="4" s="1"/>
  <c r="F36" i="4"/>
  <c r="I36" i="4" s="1"/>
  <c r="H35" i="4"/>
  <c r="K35" i="4" s="1"/>
  <c r="G35" i="4"/>
  <c r="J35" i="4" s="1"/>
  <c r="F35" i="4"/>
  <c r="I35" i="4" s="1"/>
  <c r="H34" i="4"/>
  <c r="G34" i="4"/>
  <c r="F34" i="4"/>
  <c r="H30" i="4"/>
  <c r="K30" i="4" s="1"/>
  <c r="G30" i="4"/>
  <c r="J30" i="4" s="1"/>
  <c r="F30" i="4"/>
  <c r="I30" i="4" s="1"/>
  <c r="K29" i="4"/>
  <c r="H29" i="4"/>
  <c r="G29" i="4"/>
  <c r="J29" i="4" s="1"/>
  <c r="F29" i="4"/>
  <c r="I29" i="4" s="1"/>
  <c r="H28" i="4"/>
  <c r="G28" i="4"/>
  <c r="F28" i="4"/>
  <c r="H24" i="4"/>
  <c r="K24" i="4" s="1"/>
  <c r="G24" i="4"/>
  <c r="F24" i="4"/>
  <c r="I24" i="4" s="1"/>
  <c r="H23" i="4"/>
  <c r="G23" i="4"/>
  <c r="F23" i="4"/>
  <c r="H18" i="4"/>
  <c r="K18" i="4" s="1"/>
  <c r="G18" i="4"/>
  <c r="J18" i="4" s="1"/>
  <c r="F18" i="4"/>
  <c r="I18" i="4" s="1"/>
  <c r="K17" i="4"/>
  <c r="H17" i="4"/>
  <c r="G17" i="4"/>
  <c r="J17" i="4" s="1"/>
  <c r="F17" i="4"/>
  <c r="I17" i="4" s="1"/>
  <c r="H16" i="4"/>
  <c r="G16" i="4"/>
  <c r="F16" i="4"/>
  <c r="H11" i="4"/>
  <c r="K11" i="4" s="1"/>
  <c r="G11" i="4"/>
  <c r="J11" i="4" s="1"/>
  <c r="F11" i="4"/>
  <c r="I11" i="4" s="1"/>
  <c r="K10" i="4"/>
  <c r="J10" i="4"/>
  <c r="H10" i="4"/>
  <c r="G10" i="4"/>
  <c r="F10" i="4"/>
  <c r="I10" i="4" s="1"/>
  <c r="H9" i="4"/>
  <c r="G9" i="4"/>
  <c r="F9" i="4"/>
  <c r="K5" i="4"/>
  <c r="H5" i="4"/>
  <c r="G5" i="4"/>
  <c r="J5" i="4" s="1"/>
  <c r="F5" i="4"/>
  <c r="I5" i="4" s="1"/>
  <c r="J4" i="4"/>
  <c r="I4" i="4"/>
  <c r="H4" i="4"/>
  <c r="G4" i="4"/>
  <c r="F4" i="4"/>
  <c r="H3" i="4"/>
  <c r="G3" i="4"/>
  <c r="F3" i="4"/>
  <c r="I18" i="3" l="1"/>
  <c r="J11" i="3"/>
  <c r="K148" i="3"/>
  <c r="J148" i="3"/>
  <c r="H148" i="3"/>
  <c r="G148" i="3"/>
  <c r="F148" i="3"/>
  <c r="I148" i="3" s="1"/>
  <c r="K147" i="3"/>
  <c r="I147" i="3"/>
  <c r="H147" i="3"/>
  <c r="G147" i="3"/>
  <c r="J147" i="3" s="1"/>
  <c r="F147" i="3"/>
  <c r="J146" i="3"/>
  <c r="I146" i="3"/>
  <c r="H146" i="3"/>
  <c r="K146" i="3" s="1"/>
  <c r="G146" i="3"/>
  <c r="F146" i="3"/>
  <c r="H145" i="3"/>
  <c r="G145" i="3"/>
  <c r="F145" i="3"/>
  <c r="K133" i="3"/>
  <c r="J133" i="3"/>
  <c r="H133" i="3"/>
  <c r="G133" i="3"/>
  <c r="F133" i="3"/>
  <c r="I133" i="3" s="1"/>
  <c r="J132" i="3"/>
  <c r="I132" i="3"/>
  <c r="H132" i="3"/>
  <c r="K132" i="3" s="1"/>
  <c r="G132" i="3"/>
  <c r="F132" i="3"/>
  <c r="H131" i="3"/>
  <c r="G131" i="3"/>
  <c r="F131" i="3"/>
  <c r="K123" i="3"/>
  <c r="J123" i="3"/>
  <c r="I123" i="3"/>
  <c r="H123" i="3"/>
  <c r="G123" i="3"/>
  <c r="F123" i="3"/>
  <c r="K122" i="3"/>
  <c r="J122" i="3"/>
  <c r="I122" i="3"/>
  <c r="H122" i="3"/>
  <c r="G122" i="3"/>
  <c r="F122" i="3"/>
  <c r="I121" i="3"/>
  <c r="H121" i="3"/>
  <c r="K121" i="3" s="1"/>
  <c r="G121" i="3"/>
  <c r="J121" i="3" s="1"/>
  <c r="F121" i="3"/>
  <c r="H120" i="3"/>
  <c r="G120" i="3"/>
  <c r="F120" i="3"/>
  <c r="J116" i="3"/>
  <c r="I116" i="3"/>
  <c r="H116" i="3"/>
  <c r="K116" i="3" s="1"/>
  <c r="G116" i="3"/>
  <c r="F116" i="3"/>
  <c r="H115" i="3"/>
  <c r="G115" i="3"/>
  <c r="F115" i="3"/>
  <c r="K104" i="3"/>
  <c r="J104" i="3"/>
  <c r="I104" i="3"/>
  <c r="H104" i="3"/>
  <c r="G104" i="3"/>
  <c r="F104" i="3"/>
  <c r="H103" i="3"/>
  <c r="G103" i="3"/>
  <c r="F103" i="3"/>
  <c r="K97" i="3"/>
  <c r="J97" i="3"/>
  <c r="H97" i="3"/>
  <c r="G97" i="3"/>
  <c r="F97" i="3"/>
  <c r="I97" i="3" s="1"/>
  <c r="H96" i="3"/>
  <c r="G96" i="3"/>
  <c r="F96" i="3"/>
  <c r="K91" i="3"/>
  <c r="H91" i="3"/>
  <c r="G91" i="3"/>
  <c r="J91" i="3" s="1"/>
  <c r="F91" i="3"/>
  <c r="I91" i="3" s="1"/>
  <c r="K90" i="3"/>
  <c r="J90" i="3"/>
  <c r="I90" i="3"/>
  <c r="H90" i="3"/>
  <c r="G90" i="3"/>
  <c r="F90" i="3"/>
  <c r="H89" i="3"/>
  <c r="G89" i="3"/>
  <c r="F89" i="3"/>
  <c r="K84" i="3"/>
  <c r="J84" i="3"/>
  <c r="H84" i="3"/>
  <c r="G84" i="3"/>
  <c r="F84" i="3"/>
  <c r="I84" i="3" s="1"/>
  <c r="J83" i="3"/>
  <c r="I83" i="3"/>
  <c r="H83" i="3"/>
  <c r="K83" i="3" s="1"/>
  <c r="G83" i="3"/>
  <c r="F83" i="3"/>
  <c r="H82" i="3"/>
  <c r="G82" i="3"/>
  <c r="F82" i="3"/>
  <c r="K74" i="3"/>
  <c r="J74" i="3"/>
  <c r="I74" i="3"/>
  <c r="H74" i="3"/>
  <c r="G74" i="3"/>
  <c r="F74" i="3"/>
  <c r="I73" i="3"/>
  <c r="H73" i="3"/>
  <c r="K73" i="3" s="1"/>
  <c r="G73" i="3"/>
  <c r="J73" i="3" s="1"/>
  <c r="F73" i="3"/>
  <c r="H72" i="3"/>
  <c r="K72" i="3" s="1"/>
  <c r="G72" i="3"/>
  <c r="J72" i="3" s="1"/>
  <c r="F72" i="3"/>
  <c r="I72" i="3" s="1"/>
  <c r="H71" i="3"/>
  <c r="G71" i="3"/>
  <c r="F71" i="3"/>
  <c r="H65" i="3"/>
  <c r="K65" i="3" s="1"/>
  <c r="G65" i="3"/>
  <c r="J65" i="3" s="1"/>
  <c r="F65" i="3"/>
  <c r="I65" i="3" s="1"/>
  <c r="H64" i="3"/>
  <c r="K64" i="3" s="1"/>
  <c r="G64" i="3"/>
  <c r="J64" i="3" s="1"/>
  <c r="F64" i="3"/>
  <c r="I64" i="3" s="1"/>
  <c r="K63" i="3"/>
  <c r="J63" i="3"/>
  <c r="H63" i="3"/>
  <c r="G63" i="3"/>
  <c r="F63" i="3"/>
  <c r="I63" i="3" s="1"/>
  <c r="H62" i="3"/>
  <c r="G62" i="3"/>
  <c r="F62" i="3"/>
  <c r="K56" i="3"/>
  <c r="H56" i="3"/>
  <c r="G56" i="3"/>
  <c r="J56" i="3" s="1"/>
  <c r="F56" i="3"/>
  <c r="I56" i="3" s="1"/>
  <c r="K55" i="3"/>
  <c r="J55" i="3"/>
  <c r="I55" i="3"/>
  <c r="H55" i="3"/>
  <c r="G55" i="3"/>
  <c r="F55" i="3"/>
  <c r="I54" i="3"/>
  <c r="H54" i="3"/>
  <c r="K54" i="3" s="1"/>
  <c r="G54" i="3"/>
  <c r="J54" i="3" s="1"/>
  <c r="F54" i="3"/>
  <c r="H53" i="3"/>
  <c r="G53" i="3"/>
  <c r="F53" i="3"/>
  <c r="J49" i="3"/>
  <c r="I49" i="3"/>
  <c r="H49" i="3"/>
  <c r="K49" i="3" s="1"/>
  <c r="G49" i="3"/>
  <c r="F49" i="3"/>
  <c r="H48" i="3"/>
  <c r="K48" i="3" s="1"/>
  <c r="G48" i="3"/>
  <c r="J48" i="3" s="1"/>
  <c r="F48" i="3"/>
  <c r="I48" i="3" s="1"/>
  <c r="H47" i="3"/>
  <c r="G47" i="3"/>
  <c r="F47" i="3"/>
  <c r="I42" i="3"/>
  <c r="H42" i="3"/>
  <c r="K42" i="3" s="1"/>
  <c r="G42" i="3"/>
  <c r="J42" i="3" s="1"/>
  <c r="F42" i="3"/>
  <c r="H41" i="3"/>
  <c r="G41" i="3"/>
  <c r="F41" i="3"/>
  <c r="J37" i="3"/>
  <c r="I37" i="3"/>
  <c r="H37" i="3"/>
  <c r="K37" i="3" s="1"/>
  <c r="G37" i="3"/>
  <c r="F37" i="3"/>
  <c r="H36" i="3"/>
  <c r="K36" i="3" s="1"/>
  <c r="G36" i="3"/>
  <c r="J36" i="3" s="1"/>
  <c r="F36" i="3"/>
  <c r="I36" i="3" s="1"/>
  <c r="H35" i="3"/>
  <c r="K35" i="3" s="1"/>
  <c r="G35" i="3"/>
  <c r="J35" i="3" s="1"/>
  <c r="F35" i="3"/>
  <c r="I35" i="3" s="1"/>
  <c r="H34" i="3"/>
  <c r="G34" i="3"/>
  <c r="F34" i="3"/>
  <c r="H30" i="3"/>
  <c r="K30" i="3" s="1"/>
  <c r="G30" i="3"/>
  <c r="J30" i="3" s="1"/>
  <c r="F30" i="3"/>
  <c r="I30" i="3" s="1"/>
  <c r="K29" i="3"/>
  <c r="H29" i="3"/>
  <c r="G29" i="3"/>
  <c r="J29" i="3" s="1"/>
  <c r="F29" i="3"/>
  <c r="I29" i="3" s="1"/>
  <c r="H28" i="3"/>
  <c r="G28" i="3"/>
  <c r="F28" i="3"/>
  <c r="H24" i="3"/>
  <c r="K24" i="3" s="1"/>
  <c r="G24" i="3"/>
  <c r="J24" i="3" s="1"/>
  <c r="F24" i="3"/>
  <c r="I24" i="3" s="1"/>
  <c r="H23" i="3"/>
  <c r="G23" i="3"/>
  <c r="F23" i="3"/>
  <c r="H18" i="3"/>
  <c r="K18" i="3" s="1"/>
  <c r="G18" i="3"/>
  <c r="J18" i="3" s="1"/>
  <c r="F18" i="3"/>
  <c r="K17" i="3"/>
  <c r="H17" i="3"/>
  <c r="G17" i="3"/>
  <c r="J17" i="3" s="1"/>
  <c r="F17" i="3"/>
  <c r="I17" i="3" s="1"/>
  <c r="H16" i="3"/>
  <c r="G16" i="3"/>
  <c r="F16" i="3"/>
  <c r="H11" i="3"/>
  <c r="K11" i="3" s="1"/>
  <c r="G11" i="3"/>
  <c r="F11" i="3"/>
  <c r="I11" i="3" s="1"/>
  <c r="K10" i="3"/>
  <c r="J10" i="3"/>
  <c r="H10" i="3"/>
  <c r="G10" i="3"/>
  <c r="F10" i="3"/>
  <c r="I10" i="3" s="1"/>
  <c r="H9" i="3"/>
  <c r="G9" i="3"/>
  <c r="F9" i="3"/>
  <c r="K5" i="3"/>
  <c r="H5" i="3"/>
  <c r="G5" i="3"/>
  <c r="J5" i="3" s="1"/>
  <c r="F5" i="3"/>
  <c r="I5" i="3" s="1"/>
  <c r="K4" i="3"/>
  <c r="J4" i="3"/>
  <c r="I4" i="3"/>
  <c r="H4" i="3"/>
  <c r="G4" i="3"/>
  <c r="F4" i="3"/>
  <c r="H3" i="3"/>
  <c r="G3" i="3"/>
  <c r="F3" i="3"/>
  <c r="H148" i="2"/>
  <c r="K148" i="2" s="1"/>
  <c r="G148" i="2"/>
  <c r="J148" i="2" s="1"/>
  <c r="F148" i="2"/>
  <c r="I148" i="2" s="1"/>
  <c r="K147" i="2"/>
  <c r="H147" i="2"/>
  <c r="G147" i="2"/>
  <c r="J147" i="2" s="1"/>
  <c r="F147" i="2"/>
  <c r="I147" i="2" s="1"/>
  <c r="K146" i="2"/>
  <c r="J146" i="2"/>
  <c r="I146" i="2"/>
  <c r="H146" i="2"/>
  <c r="G146" i="2"/>
  <c r="F146" i="2"/>
  <c r="H145" i="2"/>
  <c r="G145" i="2"/>
  <c r="F145" i="2"/>
  <c r="K133" i="2"/>
  <c r="J133" i="2"/>
  <c r="H133" i="2"/>
  <c r="G133" i="2"/>
  <c r="F133" i="2"/>
  <c r="I133" i="2" s="1"/>
  <c r="J132" i="2"/>
  <c r="I132" i="2"/>
  <c r="H132" i="2"/>
  <c r="K132" i="2" s="1"/>
  <c r="G132" i="2"/>
  <c r="F132" i="2"/>
  <c r="H131" i="2"/>
  <c r="G131" i="2"/>
  <c r="F131" i="2"/>
  <c r="K123" i="2"/>
  <c r="J123" i="2"/>
  <c r="I123" i="2"/>
  <c r="H123" i="2"/>
  <c r="G123" i="2"/>
  <c r="F123" i="2"/>
  <c r="I122" i="2"/>
  <c r="H122" i="2"/>
  <c r="K122" i="2" s="1"/>
  <c r="G122" i="2"/>
  <c r="J122" i="2" s="1"/>
  <c r="F122" i="2"/>
  <c r="H121" i="2"/>
  <c r="K121" i="2" s="1"/>
  <c r="G121" i="2"/>
  <c r="J121" i="2" s="1"/>
  <c r="F121" i="2"/>
  <c r="I121" i="2" s="1"/>
  <c r="H120" i="2"/>
  <c r="G120" i="2"/>
  <c r="F120" i="2"/>
  <c r="H116" i="2"/>
  <c r="K116" i="2" s="1"/>
  <c r="G116" i="2"/>
  <c r="J116" i="2" s="1"/>
  <c r="F116" i="2"/>
  <c r="I116" i="2" s="1"/>
  <c r="H115" i="2"/>
  <c r="G115" i="2"/>
  <c r="F115" i="2"/>
  <c r="I104" i="2"/>
  <c r="H104" i="2"/>
  <c r="K104" i="2" s="1"/>
  <c r="G104" i="2"/>
  <c r="J104" i="2" s="1"/>
  <c r="F104" i="2"/>
  <c r="H103" i="2"/>
  <c r="G103" i="2"/>
  <c r="F103" i="2"/>
  <c r="J97" i="2"/>
  <c r="I97" i="2"/>
  <c r="H97" i="2"/>
  <c r="K97" i="2" s="1"/>
  <c r="G97" i="2"/>
  <c r="F97" i="2"/>
  <c r="H96" i="2"/>
  <c r="G96" i="2"/>
  <c r="F96" i="2"/>
  <c r="K91" i="2"/>
  <c r="J91" i="2"/>
  <c r="I91" i="2"/>
  <c r="H91" i="2"/>
  <c r="G91" i="2"/>
  <c r="F91" i="2"/>
  <c r="I90" i="2"/>
  <c r="H90" i="2"/>
  <c r="K90" i="2" s="1"/>
  <c r="G90" i="2"/>
  <c r="J90" i="2" s="1"/>
  <c r="F90" i="2"/>
  <c r="H89" i="2"/>
  <c r="G89" i="2"/>
  <c r="F89" i="2"/>
  <c r="J84" i="2"/>
  <c r="I84" i="2"/>
  <c r="H84" i="2"/>
  <c r="K84" i="2" s="1"/>
  <c r="G84" i="2"/>
  <c r="F84" i="2"/>
  <c r="H83" i="2"/>
  <c r="K83" i="2" s="1"/>
  <c r="G83" i="2"/>
  <c r="J83" i="2" s="1"/>
  <c r="F83" i="2"/>
  <c r="I83" i="2" s="1"/>
  <c r="H82" i="2"/>
  <c r="G82" i="2"/>
  <c r="F82" i="2"/>
  <c r="I74" i="2"/>
  <c r="H74" i="2"/>
  <c r="K74" i="2" s="1"/>
  <c r="G74" i="2"/>
  <c r="J74" i="2" s="1"/>
  <c r="F74" i="2"/>
  <c r="H73" i="2"/>
  <c r="K73" i="2" s="1"/>
  <c r="G73" i="2"/>
  <c r="J73" i="2" s="1"/>
  <c r="F73" i="2"/>
  <c r="I73" i="2" s="1"/>
  <c r="K72" i="2"/>
  <c r="H72" i="2"/>
  <c r="G72" i="2"/>
  <c r="J72" i="2" s="1"/>
  <c r="F72" i="2"/>
  <c r="I72" i="2" s="1"/>
  <c r="H71" i="2"/>
  <c r="G71" i="2"/>
  <c r="F71" i="2"/>
  <c r="H65" i="2"/>
  <c r="K65" i="2" s="1"/>
  <c r="G65" i="2"/>
  <c r="J65" i="2" s="1"/>
  <c r="F65" i="2"/>
  <c r="I65" i="2" s="1"/>
  <c r="K64" i="2"/>
  <c r="J64" i="2"/>
  <c r="H64" i="2"/>
  <c r="G64" i="2"/>
  <c r="F64" i="2"/>
  <c r="I64" i="2" s="1"/>
  <c r="J63" i="2"/>
  <c r="I63" i="2"/>
  <c r="H63" i="2"/>
  <c r="K63" i="2" s="1"/>
  <c r="G63" i="2"/>
  <c r="F63" i="2"/>
  <c r="H62" i="2"/>
  <c r="G62" i="2"/>
  <c r="F62" i="2"/>
  <c r="K56" i="2"/>
  <c r="J56" i="2"/>
  <c r="I56" i="2"/>
  <c r="H56" i="2"/>
  <c r="G56" i="2"/>
  <c r="F56" i="2"/>
  <c r="I55" i="2"/>
  <c r="H55" i="2"/>
  <c r="K55" i="2" s="1"/>
  <c r="G55" i="2"/>
  <c r="J55" i="2" s="1"/>
  <c r="F55" i="2"/>
  <c r="H54" i="2"/>
  <c r="K54" i="2" s="1"/>
  <c r="G54" i="2"/>
  <c r="J54" i="2" s="1"/>
  <c r="F54" i="2"/>
  <c r="I54" i="2" s="1"/>
  <c r="H53" i="2"/>
  <c r="G53" i="2"/>
  <c r="F53" i="2"/>
  <c r="H49" i="2"/>
  <c r="K49" i="2" s="1"/>
  <c r="G49" i="2"/>
  <c r="J49" i="2" s="1"/>
  <c r="F49" i="2"/>
  <c r="I49" i="2" s="1"/>
  <c r="H48" i="2"/>
  <c r="K48" i="2" s="1"/>
  <c r="G48" i="2"/>
  <c r="J48" i="2" s="1"/>
  <c r="F48" i="2"/>
  <c r="I48" i="2" s="1"/>
  <c r="H47" i="2"/>
  <c r="G47" i="2"/>
  <c r="F47" i="2"/>
  <c r="H42" i="2"/>
  <c r="K42" i="2" s="1"/>
  <c r="G42" i="2"/>
  <c r="J42" i="2" s="1"/>
  <c r="F42" i="2"/>
  <c r="I42" i="2" s="1"/>
  <c r="H41" i="2"/>
  <c r="G41" i="2"/>
  <c r="F41" i="2"/>
  <c r="H37" i="2"/>
  <c r="K37" i="2" s="1"/>
  <c r="G37" i="2"/>
  <c r="J37" i="2" s="1"/>
  <c r="F37" i="2"/>
  <c r="I37" i="2" s="1"/>
  <c r="H36" i="2"/>
  <c r="K36" i="2" s="1"/>
  <c r="G36" i="2"/>
  <c r="J36" i="2" s="1"/>
  <c r="F36" i="2"/>
  <c r="I36" i="2" s="1"/>
  <c r="K35" i="2"/>
  <c r="J35" i="2"/>
  <c r="H35" i="2"/>
  <c r="G35" i="2"/>
  <c r="F35" i="2"/>
  <c r="I35" i="2" s="1"/>
  <c r="H34" i="2"/>
  <c r="G34" i="2"/>
  <c r="F34" i="2"/>
  <c r="K30" i="2"/>
  <c r="H30" i="2"/>
  <c r="G30" i="2"/>
  <c r="J30" i="2" s="1"/>
  <c r="F30" i="2"/>
  <c r="I30" i="2" s="1"/>
  <c r="K29" i="2"/>
  <c r="J29" i="2"/>
  <c r="I29" i="2"/>
  <c r="H29" i="2"/>
  <c r="G29" i="2"/>
  <c r="F29" i="2"/>
  <c r="H28" i="2"/>
  <c r="G28" i="2"/>
  <c r="F28" i="2"/>
  <c r="K24" i="2"/>
  <c r="J24" i="2"/>
  <c r="H24" i="2"/>
  <c r="G24" i="2"/>
  <c r="F24" i="2"/>
  <c r="I24" i="2" s="1"/>
  <c r="H23" i="2"/>
  <c r="G23" i="2"/>
  <c r="F23" i="2"/>
  <c r="K18" i="2"/>
  <c r="H18" i="2"/>
  <c r="G18" i="2"/>
  <c r="J18" i="2" s="1"/>
  <c r="F18" i="2"/>
  <c r="I18" i="2" s="1"/>
  <c r="K17" i="2"/>
  <c r="J17" i="2"/>
  <c r="I17" i="2"/>
  <c r="H17" i="2"/>
  <c r="G17" i="2"/>
  <c r="F17" i="2"/>
  <c r="H16" i="2"/>
  <c r="G16" i="2"/>
  <c r="F16" i="2"/>
  <c r="K11" i="2"/>
  <c r="J11" i="2"/>
  <c r="H11" i="2"/>
  <c r="G11" i="2"/>
  <c r="F11" i="2"/>
  <c r="I11" i="2" s="1"/>
  <c r="J10" i="2"/>
  <c r="I10" i="2"/>
  <c r="H10" i="2"/>
  <c r="K10" i="2" s="1"/>
  <c r="G10" i="2"/>
  <c r="F10" i="2"/>
  <c r="H9" i="2"/>
  <c r="G9" i="2"/>
  <c r="F9" i="2"/>
  <c r="K5" i="2"/>
  <c r="J5" i="2"/>
  <c r="I5" i="2"/>
  <c r="H5" i="2"/>
  <c r="G5" i="2"/>
  <c r="F5" i="2"/>
  <c r="I4" i="2"/>
  <c r="H4" i="2"/>
  <c r="K4" i="2" s="1"/>
  <c r="G4" i="2"/>
  <c r="J4" i="2" s="1"/>
  <c r="F4" i="2"/>
  <c r="H3" i="2"/>
  <c r="G3" i="2"/>
  <c r="F3" i="2"/>
  <c r="I148" i="1" l="1"/>
  <c r="I147" i="1"/>
  <c r="J104" i="1" l="1"/>
  <c r="K48" i="1" l="1"/>
  <c r="I48" i="1"/>
  <c r="I24" i="1"/>
  <c r="J42" i="1" l="1"/>
  <c r="I18" i="1" l="1"/>
  <c r="J11" i="1"/>
  <c r="I5" i="1"/>
  <c r="F5" i="1"/>
  <c r="J5" i="1"/>
  <c r="K3" i="1" l="1"/>
  <c r="I4" i="1"/>
  <c r="K148" i="1"/>
  <c r="K147" i="1"/>
  <c r="K146" i="1"/>
  <c r="J148" i="1"/>
  <c r="J147" i="1"/>
  <c r="J146" i="1"/>
  <c r="I146" i="1"/>
  <c r="H148" i="1"/>
  <c r="H147" i="1"/>
  <c r="H146" i="1"/>
  <c r="G148" i="1"/>
  <c r="G147" i="1"/>
  <c r="G146" i="1"/>
  <c r="F148" i="1"/>
  <c r="F147" i="1"/>
  <c r="F146" i="1"/>
  <c r="H145" i="1"/>
  <c r="G145" i="1"/>
  <c r="F145" i="1"/>
  <c r="K133" i="1"/>
  <c r="K132" i="1"/>
  <c r="J133" i="1"/>
  <c r="J132" i="1"/>
  <c r="I133" i="1"/>
  <c r="I132" i="1"/>
  <c r="H133" i="1"/>
  <c r="H132" i="1"/>
  <c r="G133" i="1"/>
  <c r="G132" i="1"/>
  <c r="F133" i="1"/>
  <c r="F132" i="1"/>
  <c r="H131" i="1"/>
  <c r="G131" i="1"/>
  <c r="F131" i="1"/>
  <c r="K123" i="1"/>
  <c r="K122" i="1"/>
  <c r="K121" i="1"/>
  <c r="J123" i="1"/>
  <c r="J122" i="1"/>
  <c r="J121" i="1"/>
  <c r="I123" i="1"/>
  <c r="I122" i="1"/>
  <c r="I121" i="1"/>
  <c r="H123" i="1"/>
  <c r="H122" i="1"/>
  <c r="H121" i="1"/>
  <c r="G123" i="1"/>
  <c r="G122" i="1"/>
  <c r="G121" i="1"/>
  <c r="F123" i="1"/>
  <c r="F122" i="1"/>
  <c r="F121" i="1"/>
  <c r="H120" i="1"/>
  <c r="G120" i="1"/>
  <c r="F120" i="1"/>
  <c r="K116" i="1"/>
  <c r="J116" i="1"/>
  <c r="I116" i="1"/>
  <c r="H116" i="1"/>
  <c r="G116" i="1"/>
  <c r="F116" i="1"/>
  <c r="H115" i="1"/>
  <c r="G115" i="1"/>
  <c r="F115" i="1"/>
  <c r="K104" i="1"/>
  <c r="I104" i="1"/>
  <c r="H104" i="1"/>
  <c r="G104" i="1"/>
  <c r="F104" i="1"/>
  <c r="H103" i="1"/>
  <c r="G103" i="1"/>
  <c r="F103" i="1"/>
  <c r="K97" i="1"/>
  <c r="J97" i="1"/>
  <c r="I97" i="1"/>
  <c r="H97" i="1"/>
  <c r="G97" i="1"/>
  <c r="F97" i="1"/>
  <c r="H96" i="1"/>
  <c r="G96" i="1"/>
  <c r="F96" i="1"/>
  <c r="K91" i="1"/>
  <c r="K90" i="1"/>
  <c r="J91" i="1"/>
  <c r="J90" i="1"/>
  <c r="I91" i="1"/>
  <c r="I90" i="1"/>
  <c r="H91" i="1"/>
  <c r="H90" i="1"/>
  <c r="G91" i="1"/>
  <c r="G90" i="1"/>
  <c r="F91" i="1"/>
  <c r="F90" i="1"/>
  <c r="H89" i="1"/>
  <c r="G89" i="1"/>
  <c r="F89" i="1"/>
  <c r="K84" i="1"/>
  <c r="K83" i="1"/>
  <c r="J84" i="1"/>
  <c r="J83" i="1"/>
  <c r="I84" i="1"/>
  <c r="I83" i="1"/>
  <c r="H84" i="1"/>
  <c r="H83" i="1"/>
  <c r="G84" i="1"/>
  <c r="G83" i="1"/>
  <c r="F84" i="1"/>
  <c r="F83" i="1"/>
  <c r="H82" i="1"/>
  <c r="G82" i="1"/>
  <c r="F82" i="1"/>
  <c r="K74" i="1"/>
  <c r="K73" i="1"/>
  <c r="K72" i="1"/>
  <c r="J74" i="1"/>
  <c r="J73" i="1"/>
  <c r="J72" i="1"/>
  <c r="I74" i="1"/>
  <c r="I73" i="1"/>
  <c r="I72" i="1"/>
  <c r="H74" i="1"/>
  <c r="H73" i="1"/>
  <c r="H72" i="1"/>
  <c r="G74" i="1"/>
  <c r="G73" i="1"/>
  <c r="G72" i="1"/>
  <c r="F74" i="1"/>
  <c r="F73" i="1"/>
  <c r="F72" i="1"/>
  <c r="H71" i="1"/>
  <c r="G71" i="1"/>
  <c r="F71" i="1"/>
  <c r="K65" i="1"/>
  <c r="K64" i="1"/>
  <c r="K63" i="1"/>
  <c r="J65" i="1"/>
  <c r="J64" i="1"/>
  <c r="J63" i="1"/>
  <c r="I65" i="1"/>
  <c r="I64" i="1"/>
  <c r="I63" i="1"/>
  <c r="H65" i="1"/>
  <c r="H64" i="1"/>
  <c r="H63" i="1"/>
  <c r="G65" i="1"/>
  <c r="G64" i="1"/>
  <c r="G63" i="1"/>
  <c r="F65" i="1"/>
  <c r="F64" i="1"/>
  <c r="F63" i="1"/>
  <c r="H62" i="1"/>
  <c r="G62" i="1"/>
  <c r="F62" i="1"/>
  <c r="K56" i="1"/>
  <c r="K55" i="1"/>
  <c r="K54" i="1"/>
  <c r="J56" i="1"/>
  <c r="J55" i="1"/>
  <c r="J54" i="1"/>
  <c r="I56" i="1"/>
  <c r="I55" i="1"/>
  <c r="I54" i="1"/>
  <c r="H56" i="1"/>
  <c r="H55" i="1"/>
  <c r="H54" i="1"/>
  <c r="G56" i="1"/>
  <c r="G55" i="1"/>
  <c r="G54" i="1"/>
  <c r="F56" i="1"/>
  <c r="F55" i="1"/>
  <c r="F54" i="1"/>
  <c r="H53" i="1"/>
  <c r="G53" i="1"/>
  <c r="F53" i="1"/>
  <c r="K49" i="1"/>
  <c r="I49" i="1"/>
  <c r="H49" i="1"/>
  <c r="H48" i="1"/>
  <c r="G49" i="1"/>
  <c r="G48" i="1"/>
  <c r="F49" i="1"/>
  <c r="F48" i="1"/>
  <c r="H47" i="1"/>
  <c r="G47" i="1"/>
  <c r="F47" i="1"/>
  <c r="K42" i="1"/>
  <c r="I42" i="1"/>
  <c r="H42" i="1"/>
  <c r="G42" i="1"/>
  <c r="F42" i="1"/>
  <c r="H41" i="1"/>
  <c r="G41" i="1"/>
  <c r="F41" i="1"/>
  <c r="K37" i="1"/>
  <c r="K36" i="1"/>
  <c r="K35" i="1"/>
  <c r="J37" i="1"/>
  <c r="J36" i="1"/>
  <c r="J35" i="1"/>
  <c r="I37" i="1"/>
  <c r="I36" i="1"/>
  <c r="I35" i="1"/>
  <c r="H37" i="1"/>
  <c r="H36" i="1"/>
  <c r="H35" i="1"/>
  <c r="G37" i="1"/>
  <c r="G36" i="1"/>
  <c r="G35" i="1"/>
  <c r="F37" i="1"/>
  <c r="F36" i="1"/>
  <c r="F35" i="1"/>
  <c r="H34" i="1"/>
  <c r="G34" i="1"/>
  <c r="F34" i="1"/>
  <c r="K30" i="1"/>
  <c r="K29" i="1"/>
  <c r="J30" i="1"/>
  <c r="J29" i="1"/>
  <c r="I30" i="1"/>
  <c r="I29" i="1"/>
  <c r="H30" i="1"/>
  <c r="H29" i="1"/>
  <c r="G30" i="1"/>
  <c r="G29" i="1"/>
  <c r="F30" i="1"/>
  <c r="F29" i="1"/>
  <c r="H28" i="1"/>
  <c r="G28" i="1"/>
  <c r="F28" i="1"/>
  <c r="K24" i="1"/>
  <c r="J24" i="1"/>
  <c r="H24" i="1"/>
  <c r="G24" i="1"/>
  <c r="F24" i="1"/>
  <c r="H23" i="1"/>
  <c r="G23" i="1"/>
  <c r="F23" i="1"/>
  <c r="K18" i="1"/>
  <c r="K17" i="1"/>
  <c r="J18" i="1"/>
  <c r="J17" i="1"/>
  <c r="I17" i="1"/>
  <c r="H18" i="1"/>
  <c r="H17" i="1"/>
  <c r="G18" i="1"/>
  <c r="G17" i="1"/>
  <c r="F18" i="1"/>
  <c r="F17" i="1"/>
  <c r="H16" i="1"/>
  <c r="G16" i="1"/>
  <c r="F16" i="1"/>
  <c r="K11" i="1"/>
  <c r="K10" i="1"/>
  <c r="J10" i="1"/>
  <c r="I11" i="1"/>
  <c r="I10" i="1"/>
  <c r="H11" i="1"/>
  <c r="H10" i="1"/>
  <c r="G11" i="1"/>
  <c r="G10" i="1"/>
  <c r="F11" i="1"/>
  <c r="F10" i="1"/>
  <c r="H9" i="1"/>
  <c r="G9" i="1"/>
  <c r="F9" i="1"/>
  <c r="K5" i="1"/>
  <c r="K4" i="1"/>
  <c r="J4" i="1"/>
  <c r="J3" i="1"/>
  <c r="H5" i="1"/>
  <c r="H4" i="1"/>
  <c r="G5" i="1"/>
  <c r="G4" i="1"/>
  <c r="F4" i="1"/>
  <c r="H3" i="1"/>
  <c r="G3" i="1"/>
  <c r="F3" i="1"/>
</calcChain>
</file>

<file path=xl/sharedStrings.xml><?xml version="1.0" encoding="utf-8"?>
<sst xmlns="http://schemas.openxmlformats.org/spreadsheetml/2006/main" count="605" uniqueCount="99">
  <si>
    <t>#of Intermediate</t>
  </si>
  <si>
    <t>x</t>
  </si>
  <si>
    <t>y</t>
  </si>
  <si>
    <t>z</t>
  </si>
  <si>
    <t>I0</t>
  </si>
  <si>
    <t>ref x</t>
  </si>
  <si>
    <t>ref y</t>
  </si>
  <si>
    <t>ref z</t>
  </si>
  <si>
    <t>x'</t>
  </si>
  <si>
    <t>y'</t>
  </si>
  <si>
    <t>z'</t>
  </si>
  <si>
    <t>C</t>
  </si>
  <si>
    <t>O1</t>
  </si>
  <si>
    <t>O2</t>
  </si>
  <si>
    <t>Name of Atom</t>
  </si>
  <si>
    <t>I1.1</t>
  </si>
  <si>
    <t>O(=)</t>
  </si>
  <si>
    <t>O(-)</t>
  </si>
  <si>
    <t>H</t>
  </si>
  <si>
    <t>I1.2</t>
  </si>
  <si>
    <t>O</t>
  </si>
  <si>
    <t>I2.1</t>
  </si>
  <si>
    <t>O(=-)</t>
  </si>
  <si>
    <t>I2.2+3</t>
  </si>
  <si>
    <t>I2.4</t>
  </si>
  <si>
    <t>O1(-)</t>
  </si>
  <si>
    <t>O2(-)</t>
  </si>
  <si>
    <t>H1</t>
  </si>
  <si>
    <t>I3.1</t>
  </si>
  <si>
    <t>I3.2</t>
  </si>
  <si>
    <t>I3.3</t>
  </si>
  <si>
    <t>H1(top of C)</t>
  </si>
  <si>
    <t>H2</t>
  </si>
  <si>
    <t>H3</t>
  </si>
  <si>
    <t>I3.4+5</t>
  </si>
  <si>
    <t>O(single)</t>
  </si>
  <si>
    <t>O(-C)</t>
  </si>
  <si>
    <t>H1(-C)</t>
  </si>
  <si>
    <t>H2(-C)</t>
  </si>
  <si>
    <t>H3(O)</t>
  </si>
  <si>
    <t>I3.6</t>
  </si>
  <si>
    <t>I4.1</t>
  </si>
  <si>
    <t>I4.2</t>
  </si>
  <si>
    <t>H(with C)</t>
  </si>
  <si>
    <t>H(with O)</t>
  </si>
  <si>
    <t>I4.3</t>
  </si>
  <si>
    <t>H (with C)</t>
  </si>
  <si>
    <t>H (with O)</t>
  </si>
  <si>
    <t>I4.4+5</t>
  </si>
  <si>
    <t>I4.6</t>
  </si>
  <si>
    <t>H4</t>
  </si>
  <si>
    <t>I4.7=I3.6</t>
  </si>
  <si>
    <t>I5.1+3</t>
  </si>
  <si>
    <t>I5.2+5+6</t>
  </si>
  <si>
    <t>H1©</t>
  </si>
  <si>
    <t>H2©</t>
  </si>
  <si>
    <t>I5.4+7=I3.8</t>
  </si>
  <si>
    <t>I6.1+3</t>
  </si>
  <si>
    <t>I6.2+4=I4.6</t>
  </si>
  <si>
    <t>I7.1+2</t>
  </si>
  <si>
    <t>CO2</t>
  </si>
  <si>
    <t>COOH</t>
  </si>
  <si>
    <t>OCHO</t>
  </si>
  <si>
    <t>CO</t>
  </si>
  <si>
    <t>HCOOH</t>
  </si>
  <si>
    <t>CH2O2</t>
  </si>
  <si>
    <t>COH</t>
  </si>
  <si>
    <t>CHO</t>
  </si>
  <si>
    <t>CHOHOH</t>
  </si>
  <si>
    <t>OCH2OH</t>
  </si>
  <si>
    <t>OCH3</t>
  </si>
  <si>
    <t>CHOH</t>
  </si>
  <si>
    <t>CH2O</t>
  </si>
  <si>
    <t>CH3OH</t>
  </si>
  <si>
    <t>CH</t>
  </si>
  <si>
    <t>CH2OH</t>
  </si>
  <si>
    <t>I5.4+7=I3.6</t>
  </si>
  <si>
    <t>CH2</t>
  </si>
  <si>
    <t>I6.5</t>
  </si>
  <si>
    <t>CH4</t>
  </si>
  <si>
    <t>CH3</t>
  </si>
  <si>
    <t>I8.1</t>
  </si>
  <si>
    <t>Gibbs Free Energy (kcal/mol)</t>
  </si>
  <si>
    <t>Ni</t>
  </si>
  <si>
    <t>AlSb_4x4 (Al)</t>
  </si>
  <si>
    <t>AlSb_4x4 (Sb)</t>
  </si>
  <si>
    <t>AlSb_4x4 (H)</t>
  </si>
  <si>
    <t>AlSb_4x4</t>
  </si>
  <si>
    <t>eV</t>
  </si>
  <si>
    <t>Pristine AlSb</t>
  </si>
  <si>
    <t>E</t>
  </si>
  <si>
    <t>ZPE (eV)</t>
  </si>
  <si>
    <t>TS (eV)</t>
  </si>
  <si>
    <t>G (eV)</t>
  </si>
  <si>
    <t>E (eV)</t>
  </si>
  <si>
    <t>ZPE (kcal/mol)</t>
  </si>
  <si>
    <t>TS (kcal/mol)</t>
  </si>
  <si>
    <t>G (kcal/mol)</t>
  </si>
  <si>
    <t>Fe@AlSb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</si>
</sst>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Fe@AlS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B059-EBFD-49B6-9F37-876C40744F03}">
  <dimension ref="A1:K148"/>
  <sheetViews>
    <sheetView zoomScale="93" workbookViewId="0">
      <pane ySplit="1" topLeftCell="A2" activePane="bottomLeft" state="frozen"/>
      <selection pane="bottomLeft" activeCell="K49" sqref="K49"/>
    </sheetView>
  </sheetViews>
  <sheetFormatPr defaultRowHeight="14.4" x14ac:dyDescent="0.3"/>
  <cols>
    <col min="1" max="1" width="14.5546875" customWidth="1"/>
    <col min="2" max="2" width="17.77734375" customWidth="1"/>
    <col min="3" max="3" width="15.6640625" customWidth="1"/>
    <col min="4" max="4" width="14.88671875" customWidth="1"/>
    <col min="5" max="5" width="17.44140625" customWidth="1"/>
    <col min="6" max="6" width="16.77734375" customWidth="1"/>
    <col min="7" max="7" width="14.77734375" customWidth="1"/>
    <col min="8" max="8" width="15.6640625" customWidth="1"/>
    <col min="9" max="9" width="15.44140625" customWidth="1"/>
    <col min="10" max="10" width="15.5546875" customWidth="1"/>
    <col min="11" max="11" width="16.218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1.3476331399999999</v>
      </c>
      <c r="G2">
        <v>3.6910423400000001</v>
      </c>
      <c r="H2">
        <v>6.8828067099999997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1.3476331399999999</v>
      </c>
      <c r="J3">
        <f>G2+G3</f>
        <v>3.6910423400000001</v>
      </c>
      <c r="K3">
        <f>H2+H3</f>
        <v>6.8828067099999997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0.18763762999999978</v>
      </c>
      <c r="J4">
        <f>G2+G4</f>
        <v>3.6973732100000003</v>
      </c>
      <c r="K4">
        <f>H2+H4</f>
        <v>6.8830607199999996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2.50762734</v>
      </c>
      <c r="J5">
        <f>G2+G5</f>
        <v>3.6851011100000002</v>
      </c>
      <c r="K5">
        <f>H2+H5</f>
        <v>6.8830607199999996</v>
      </c>
    </row>
    <row r="8" spans="1:11" x14ac:dyDescent="0.3">
      <c r="A8" t="s">
        <v>15</v>
      </c>
      <c r="F8">
        <v>1.3476331399999999</v>
      </c>
      <c r="G8">
        <v>3.6910423400000001</v>
      </c>
      <c r="H8">
        <v>6.8828067099999997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1.3476331399999999</v>
      </c>
      <c r="J9">
        <v>3.6910423400000001</v>
      </c>
      <c r="K9">
        <v>6.8828067099999997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1.6526236299999999</v>
      </c>
      <c r="J10">
        <f>G8+G10</f>
        <v>5.0358845500000005</v>
      </c>
      <c r="K10">
        <f>H8+H10</f>
        <v>6.8287102099999997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2.53385953</v>
      </c>
      <c r="J11">
        <f>G8+G11</f>
        <v>2.9282842000000002</v>
      </c>
      <c r="K11">
        <f>H8+H11</f>
        <v>6.7165643999999993</v>
      </c>
    </row>
    <row r="12" spans="1:11" x14ac:dyDescent="0.3">
      <c r="B12" t="s">
        <v>18</v>
      </c>
    </row>
    <row r="15" spans="1:11" x14ac:dyDescent="0.3">
      <c r="A15" t="s">
        <v>19</v>
      </c>
      <c r="F15">
        <v>1.3476331399999999</v>
      </c>
      <c r="G15">
        <v>3.6910423400000001</v>
      </c>
      <c r="H15">
        <v>6.8828067099999997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1.3476331399999999</v>
      </c>
      <c r="J16">
        <v>3.6910423400000001</v>
      </c>
      <c r="K16">
        <v>6.8828067099999997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2.4600308100000001</v>
      </c>
      <c r="J17">
        <f>G15+G17</f>
        <v>4.1656442399999998</v>
      </c>
      <c r="K17">
        <f>H15+H17</f>
        <v>7.1182188999999996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3.5884462800000003</v>
      </c>
      <c r="J18">
        <f>G15+G18</f>
        <v>3.7561375100000003</v>
      </c>
      <c r="K18">
        <f>H15+H18</f>
        <v>6.8405910699999994</v>
      </c>
    </row>
    <row r="19" spans="1:11" x14ac:dyDescent="0.3">
      <c r="B19" t="s">
        <v>18</v>
      </c>
    </row>
    <row r="22" spans="1:11" x14ac:dyDescent="0.3">
      <c r="A22" t="s">
        <v>21</v>
      </c>
      <c r="F22">
        <v>1.3476331399999999</v>
      </c>
      <c r="G22">
        <v>3.6910423400000001</v>
      </c>
      <c r="H22">
        <v>6.8828067099999997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1.3476331399999999</v>
      </c>
      <c r="J23">
        <v>3.6910423400000001</v>
      </c>
      <c r="K23">
        <v>6.8828067099999997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2.4759292999999998</v>
      </c>
      <c r="J24">
        <f>G22+G24</f>
        <v>3.6940236100000003</v>
      </c>
      <c r="K24">
        <f>H22+H24</f>
        <v>6.8827915499999994</v>
      </c>
    </row>
    <row r="27" spans="1:11" x14ac:dyDescent="0.3">
      <c r="A27" t="s">
        <v>23</v>
      </c>
      <c r="F27">
        <v>1.3476331399999999</v>
      </c>
      <c r="G27">
        <v>3.6910423400000001</v>
      </c>
      <c r="H27">
        <v>6.8828067099999997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1.3476331399999999</v>
      </c>
      <c r="J28">
        <v>3.6910423400000001</v>
      </c>
      <c r="K28">
        <v>6.8828067099999997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1.3739763899999999</v>
      </c>
      <c r="J29">
        <f>G27+G29</f>
        <v>4.8974453000000002</v>
      </c>
      <c r="K29">
        <f>H27+H29</f>
        <v>6.9378828800000001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0.25118344999999986</v>
      </c>
      <c r="J30">
        <f>G27+G30</f>
        <v>2.9609540000000001</v>
      </c>
      <c r="K30">
        <f>H27+H30</f>
        <v>7.1715477199999995</v>
      </c>
    </row>
    <row r="33" spans="1:11" x14ac:dyDescent="0.3">
      <c r="A33" t="s">
        <v>24</v>
      </c>
      <c r="F33">
        <v>1.3476331399999999</v>
      </c>
      <c r="G33">
        <v>3.6910423400000001</v>
      </c>
      <c r="H33">
        <v>6.8828067099999997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1.3476331399999999</v>
      </c>
      <c r="J34">
        <v>3.6910423400000001</v>
      </c>
      <c r="K34">
        <v>6.8828067099999997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0.23165137999999996</v>
      </c>
      <c r="J35">
        <f>G33+G35</f>
        <v>2.9783197800000001</v>
      </c>
      <c r="K35">
        <f>H33+H35</f>
        <v>6.9023587699999993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2.2637339299999999</v>
      </c>
      <c r="J36">
        <f>G33+G36</f>
        <v>2.73490543</v>
      </c>
      <c r="K36">
        <f>H33+H36</f>
        <v>6.8450212199999996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1.4501369099999999</v>
      </c>
      <c r="J37">
        <f>G33+G37</f>
        <v>4.41843393</v>
      </c>
      <c r="K37">
        <f>H33+H37</f>
        <v>7.70959387</v>
      </c>
    </row>
    <row r="40" spans="1:11" x14ac:dyDescent="0.3">
      <c r="A40" t="s">
        <v>28</v>
      </c>
      <c r="F40">
        <v>1.3476331399999999</v>
      </c>
      <c r="G40">
        <v>3.6910423400000001</v>
      </c>
      <c r="H40">
        <v>6.8828067099999997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1.3476331399999999</v>
      </c>
      <c r="J41">
        <v>3.6910423400000001</v>
      </c>
      <c r="K41">
        <v>6.8828067099999997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2.76736366</v>
      </c>
      <c r="J42">
        <f>G40+G42</f>
        <v>3.71539127</v>
      </c>
      <c r="K42">
        <f>H40+H42</f>
        <v>6.8959701999999998</v>
      </c>
    </row>
    <row r="43" spans="1:11" x14ac:dyDescent="0.3">
      <c r="B43" t="s">
        <v>18</v>
      </c>
    </row>
    <row r="46" spans="1:11" x14ac:dyDescent="0.3">
      <c r="A46" t="s">
        <v>29</v>
      </c>
      <c r="F46">
        <v>1.3476331399999999</v>
      </c>
      <c r="G46">
        <v>3.6910423400000001</v>
      </c>
      <c r="H46">
        <v>6.8828067099999997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1.3476331399999999</v>
      </c>
      <c r="J47">
        <v>3.6910423400000001</v>
      </c>
      <c r="K47">
        <v>6.8828067099999997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0.36174196999999975</v>
      </c>
      <c r="J48">
        <f>G46+G48</f>
        <v>2.7556399499999999</v>
      </c>
      <c r="K48">
        <f>H46+H48</f>
        <v>6.6431398399999999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2.2452584099999999</v>
      </c>
      <c r="J49">
        <f>G46+G49</f>
        <v>3.4369946000000002</v>
      </c>
      <c r="K49">
        <f>H46+H49</f>
        <v>6.2980584899999998</v>
      </c>
    </row>
    <row r="52" spans="1:11" x14ac:dyDescent="0.3">
      <c r="A52" t="s">
        <v>30</v>
      </c>
      <c r="F52">
        <v>1.3476331399999999</v>
      </c>
      <c r="G52">
        <v>3.6910423400000001</v>
      </c>
      <c r="H52">
        <v>6.8828067099999997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1.3476331399999999</v>
      </c>
      <c r="J53">
        <v>3.6910423400000001</v>
      </c>
      <c r="K53">
        <v>6.8828067099999997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0.27985004999999985</v>
      </c>
      <c r="J54">
        <f>G52+G54</f>
        <v>3.1599738200000003</v>
      </c>
      <c r="K54">
        <f>H52+H54</f>
        <v>6.1313454399999996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2.5002567199999999</v>
      </c>
      <c r="J55">
        <f>G52+G55</f>
        <v>3.06562622</v>
      </c>
      <c r="K55">
        <f>H52+H55</f>
        <v>6.36589078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1.4103012099999999</v>
      </c>
      <c r="J56">
        <f>G52+G56</f>
        <v>4.78154067</v>
      </c>
      <c r="K56">
        <f>H52+H56</f>
        <v>6.7281981899999996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1.3476331399999999</v>
      </c>
      <c r="G61">
        <v>3.6910423400000001</v>
      </c>
      <c r="H61">
        <v>6.8828067099999997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1.3476331399999999</v>
      </c>
      <c r="J62">
        <v>3.6910423400000001</v>
      </c>
      <c r="K62">
        <v>6.8828067099999997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0.74540476999999994</v>
      </c>
      <c r="J63">
        <f>G61+G63</f>
        <v>4.3728793399999999</v>
      </c>
      <c r="K63">
        <f>H61+H63</f>
        <v>5.9292086599999996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0.1565402199999999</v>
      </c>
      <c r="J64">
        <f>G61+G64</f>
        <v>3.1509477500000003</v>
      </c>
      <c r="K64">
        <f>H61+H64</f>
        <v>5.6304579799999992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1.2833866299999999</v>
      </c>
      <c r="J65">
        <f>G61+G65</f>
        <v>4.7482264499999998</v>
      </c>
      <c r="K65">
        <f>H61+H65</f>
        <v>5.04203285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1.3476331399999999</v>
      </c>
      <c r="G70">
        <v>3.6910423400000001</v>
      </c>
      <c r="H70">
        <v>6.8828067099999997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1.3476331399999999</v>
      </c>
      <c r="J71">
        <v>3.6910423400000001</v>
      </c>
      <c r="K71">
        <v>6.8828067099999997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1.3491338699999997</v>
      </c>
      <c r="J72">
        <f>G70+G72</f>
        <v>5.0153416200000001</v>
      </c>
      <c r="K72">
        <f>H70+H72</f>
        <v>6.8826949699999993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0.39663429999999988</v>
      </c>
      <c r="J73">
        <f>G70+G73</f>
        <v>5.5190677800000003</v>
      </c>
      <c r="K73">
        <f>H70+H73</f>
        <v>7.13707402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2.0465715599999998</v>
      </c>
      <c r="J74">
        <f>G70+G74</f>
        <v>5.5172370800000001</v>
      </c>
      <c r="K74">
        <f>H70+H74</f>
        <v>7.5808256099999998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1.3476331399999999</v>
      </c>
      <c r="G81">
        <v>3.6910423400000001</v>
      </c>
      <c r="H81">
        <v>6.8828067099999997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1.3476331399999999</v>
      </c>
      <c r="J82">
        <v>3.6910423400000001</v>
      </c>
      <c r="K82">
        <v>6.8828067099999997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2.7424520899999996</v>
      </c>
      <c r="J83">
        <f>G81+G83</f>
        <v>3.9356029800000001</v>
      </c>
      <c r="K83">
        <f>H81+H83</f>
        <v>7.0061561699999997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0.80206390999999977</v>
      </c>
      <c r="J84">
        <f>G81+G84</f>
        <v>4.6460362599999998</v>
      </c>
      <c r="K84">
        <f>H81+H84</f>
        <v>6.8128089199999993</v>
      </c>
    </row>
    <row r="85" spans="1:11" x14ac:dyDescent="0.3">
      <c r="B85" t="s">
        <v>44</v>
      </c>
    </row>
    <row r="88" spans="1:11" x14ac:dyDescent="0.3">
      <c r="A88" t="s">
        <v>45</v>
      </c>
      <c r="F88">
        <v>1.3476331399999999</v>
      </c>
      <c r="G88">
        <v>3.6910423400000001</v>
      </c>
      <c r="H88">
        <v>6.8828067099999997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1.3476331399999999</v>
      </c>
      <c r="J89">
        <v>3.6910423400000001</v>
      </c>
      <c r="K89">
        <v>6.8828067099999997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7.0062250000000104E-2</v>
      </c>
      <c r="J90">
        <f>G88+G90</f>
        <v>3.0699213700000003</v>
      </c>
      <c r="K90">
        <f>H88+H90</f>
        <v>6.9098264399999998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2.1356996399999999</v>
      </c>
      <c r="J91">
        <f>G88+G91</f>
        <v>2.9235651499999999</v>
      </c>
      <c r="K91">
        <f>H88+H91</f>
        <v>6.9507922199999994</v>
      </c>
    </row>
    <row r="92" spans="1:11" x14ac:dyDescent="0.3">
      <c r="B92" t="s">
        <v>47</v>
      </c>
    </row>
    <row r="95" spans="1:11" x14ac:dyDescent="0.3">
      <c r="A95" t="s">
        <v>48</v>
      </c>
      <c r="F95">
        <v>1.3476331399999999</v>
      </c>
      <c r="G95">
        <v>3.6910423400000001</v>
      </c>
      <c r="H95">
        <v>6.8828067099999997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1.3476331399999999</v>
      </c>
      <c r="J96">
        <v>3.6910423400000001</v>
      </c>
      <c r="K96">
        <v>6.8828067099999997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1.5387919699999999</v>
      </c>
      <c r="J97">
        <f>G95+G97</f>
        <v>4.8849717000000004</v>
      </c>
      <c r="K97">
        <f>H95+H97</f>
        <v>6.8814954199999994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1.3476331399999999</v>
      </c>
      <c r="G102">
        <v>3.6910423400000001</v>
      </c>
      <c r="H102">
        <v>6.8828067099999997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1.3476331399999999</v>
      </c>
      <c r="J103">
        <v>3.6910423400000001</v>
      </c>
      <c r="K103">
        <v>6.8828067099999997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1.4669226499999999</v>
      </c>
      <c r="J104">
        <f>G102+G104</f>
        <v>5.0005705000000003</v>
      </c>
      <c r="K104">
        <f>H102+H104</f>
        <v>7.4088206199999993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1.3476331399999999</v>
      </c>
      <c r="G114">
        <v>3.6910423400000001</v>
      </c>
      <c r="H114">
        <v>6.8828067099999997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1.3476331399999999</v>
      </c>
      <c r="J115">
        <v>3.6910423400000001</v>
      </c>
      <c r="K115">
        <v>6.8828067099999997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2.4481180699999996</v>
      </c>
      <c r="J116">
        <f>G114+G116</f>
        <v>3.65735403</v>
      </c>
      <c r="K116">
        <f>H114+H116</f>
        <v>6.8828067099999997</v>
      </c>
    </row>
    <row r="119" spans="1:11" x14ac:dyDescent="0.3">
      <c r="A119" t="s">
        <v>53</v>
      </c>
      <c r="F119">
        <v>1.3476331399999999</v>
      </c>
      <c r="G119">
        <v>3.6910423400000001</v>
      </c>
      <c r="H119">
        <v>6.8828067099999997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1.3476331399999999</v>
      </c>
      <c r="J120">
        <v>3.6910423400000001</v>
      </c>
      <c r="K120">
        <v>6.8828067099999997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0.91727001999999991</v>
      </c>
      <c r="J121">
        <f>G119+G121</f>
        <v>4.9220840500000005</v>
      </c>
      <c r="K121">
        <f>H119+H121</f>
        <v>6.3151106800000001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1.8782812499999999</v>
      </c>
      <c r="J122">
        <f>G119+G122</f>
        <v>3.0924998400000003</v>
      </c>
      <c r="K122">
        <f>H119+H122</f>
        <v>6.1247187899999993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0.47461319999999985</v>
      </c>
      <c r="J123">
        <f>G119+G123</f>
        <v>3.1264282799999998</v>
      </c>
      <c r="K123">
        <f>H119+H123</f>
        <v>7.2484926499999993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1.3476331399999999</v>
      </c>
      <c r="G130">
        <v>3.6910423400000001</v>
      </c>
      <c r="H130">
        <v>6.8828067099999997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1.3476331399999999</v>
      </c>
      <c r="J131">
        <v>3.6910423400000001</v>
      </c>
      <c r="K131">
        <v>6.8828067099999997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0.49669815999999989</v>
      </c>
      <c r="J132">
        <f>G130+G132</f>
        <v>2.9923911300000001</v>
      </c>
      <c r="K132">
        <f>H130+H132</f>
        <v>6.8828067099999997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2.29025765</v>
      </c>
      <c r="J133">
        <f>G130+G133</f>
        <v>3.1221305400000001</v>
      </c>
      <c r="K133">
        <f>H130+H133</f>
        <v>6.8828067099999997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1.3476331399999999</v>
      </c>
      <c r="G144">
        <v>3.6910423400000001</v>
      </c>
      <c r="H144">
        <v>6.8828067099999997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1.3476331399999999</v>
      </c>
      <c r="J145">
        <v>3.6910423400000001</v>
      </c>
      <c r="K145">
        <v>6.8828067099999997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2.2113055499999996</v>
      </c>
      <c r="J146">
        <f>G144+G146</f>
        <v>3.0082019600000001</v>
      </c>
      <c r="K146">
        <f>H144+H146</f>
        <v>6.8828067099999997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0.32443983999999992</v>
      </c>
      <c r="J147">
        <f>G144+G147</f>
        <v>3.2845003500000001</v>
      </c>
      <c r="K147">
        <f>H144+H147</f>
        <v>6.8828067099999997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1.5071540799999998</v>
      </c>
      <c r="J148">
        <f>G144+G148</f>
        <v>4.7804248000000005</v>
      </c>
      <c r="K148">
        <f>H144+H148</f>
        <v>6.8828067099999997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5FD23-5649-47C7-ACE7-0B2372FE5805}">
  <dimension ref="A1:K148"/>
  <sheetViews>
    <sheetView workbookViewId="0">
      <selection activeCell="K3" sqref="K3"/>
    </sheetView>
  </sheetViews>
  <sheetFormatPr defaultRowHeight="14.4" x14ac:dyDescent="0.3"/>
  <cols>
    <col min="1" max="1" width="20.109375" customWidth="1"/>
    <col min="2" max="2" width="17" customWidth="1"/>
    <col min="3" max="3" width="16.44140625" customWidth="1"/>
    <col min="4" max="4" width="17.5546875" customWidth="1"/>
    <col min="5" max="5" width="17.77734375" customWidth="1"/>
    <col min="6" max="6" width="17.5546875" customWidth="1"/>
    <col min="7" max="7" width="17.77734375" customWidth="1"/>
    <col min="8" max="8" width="15.44140625" customWidth="1"/>
    <col min="9" max="9" width="17.5546875" customWidth="1"/>
    <col min="10" max="10" width="17.77734375" customWidth="1"/>
    <col min="11" max="11" width="15.218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0.56061402999999999</v>
      </c>
      <c r="G2">
        <v>15.60862386</v>
      </c>
      <c r="H2">
        <v>13.733131849999999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0.56061402999999999</v>
      </c>
      <c r="J3">
        <v>15.60862386</v>
      </c>
      <c r="K3">
        <v>13.733131849999999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-0.59938148000000013</v>
      </c>
      <c r="J4">
        <f>G2+G4</f>
        <v>15.614954729999999</v>
      </c>
      <c r="K4">
        <f>H2+H4</f>
        <v>13.73338586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1.7206082299999998</v>
      </c>
      <c r="J5">
        <f>G2+G5</f>
        <v>15.60268263</v>
      </c>
      <c r="K5">
        <f>H2+H5</f>
        <v>13.73338586</v>
      </c>
    </row>
    <row r="8" spans="1:11" x14ac:dyDescent="0.3">
      <c r="A8" t="s">
        <v>15</v>
      </c>
      <c r="F8">
        <v>0.56061402999999999</v>
      </c>
      <c r="G8">
        <v>15.60862386</v>
      </c>
      <c r="H8">
        <v>13.733131849999999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0.56061402999999999</v>
      </c>
      <c r="J9">
        <v>15.60862386</v>
      </c>
      <c r="K9">
        <v>13.733131849999999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0.86560451999999999</v>
      </c>
      <c r="J10">
        <f>G8+G10</f>
        <v>16.953466070000001</v>
      </c>
      <c r="K10">
        <f>H8+H10</f>
        <v>13.679035349999999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1.7468404199999998</v>
      </c>
      <c r="J11">
        <f>G8+G11</f>
        <v>14.845865719999999</v>
      </c>
      <c r="K11">
        <f>H8+H11</f>
        <v>13.56688954</v>
      </c>
    </row>
    <row r="12" spans="1:11" x14ac:dyDescent="0.3">
      <c r="B12" t="s">
        <v>18</v>
      </c>
    </row>
    <row r="15" spans="1:11" x14ac:dyDescent="0.3">
      <c r="A15" t="s">
        <v>19</v>
      </c>
      <c r="F15">
        <v>0.56061402999999999</v>
      </c>
      <c r="G15">
        <v>15.60862386</v>
      </c>
      <c r="H15">
        <v>13.733131849999999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0.56061402999999999</v>
      </c>
      <c r="J16">
        <v>15.60862386</v>
      </c>
      <c r="K16">
        <v>13.733131849999999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1.6730117</v>
      </c>
      <c r="J17">
        <f>G15+G17</f>
        <v>16.083225760000001</v>
      </c>
      <c r="K17">
        <f>H15+H17</f>
        <v>13.968544039999999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2.8014271700000002</v>
      </c>
      <c r="J18">
        <f>G15+G18</f>
        <v>15.673719029999999</v>
      </c>
      <c r="K18">
        <f>H15+H18</f>
        <v>13.690916209999999</v>
      </c>
    </row>
    <row r="19" spans="1:11" x14ac:dyDescent="0.3">
      <c r="B19" t="s">
        <v>18</v>
      </c>
    </row>
    <row r="22" spans="1:11" x14ac:dyDescent="0.3">
      <c r="A22" t="s">
        <v>21</v>
      </c>
      <c r="F22">
        <v>0.56061402999999999</v>
      </c>
      <c r="G22">
        <v>15.60862386</v>
      </c>
      <c r="H22">
        <v>13.733131849999999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0.56061402999999999</v>
      </c>
      <c r="J23">
        <v>15.60862386</v>
      </c>
      <c r="K23">
        <v>13.733131849999999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1.6889101900000001</v>
      </c>
      <c r="J24">
        <f>G22+G24</f>
        <v>15.611605129999999</v>
      </c>
      <c r="K24">
        <f>H22+H24</f>
        <v>13.733116689999999</v>
      </c>
    </row>
    <row r="27" spans="1:11" x14ac:dyDescent="0.3">
      <c r="A27" t="s">
        <v>23</v>
      </c>
      <c r="F27">
        <v>0.56061402999999999</v>
      </c>
      <c r="G27">
        <v>15.60862386</v>
      </c>
      <c r="H27">
        <v>13.733131849999999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0.56061402999999999</v>
      </c>
      <c r="J28">
        <v>15.60862386</v>
      </c>
      <c r="K28">
        <v>13.733131849999999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0.58695728000000003</v>
      </c>
      <c r="J29">
        <f>G27+G29</f>
        <v>16.81502682</v>
      </c>
      <c r="K29">
        <f>H27+H29</f>
        <v>13.788208019999999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-0.53583566000000005</v>
      </c>
      <c r="J30">
        <f>G27+G30</f>
        <v>14.87853552</v>
      </c>
      <c r="K30">
        <f>H27+H30</f>
        <v>14.02187286</v>
      </c>
    </row>
    <row r="33" spans="1:11" x14ac:dyDescent="0.3">
      <c r="A33" t="s">
        <v>24</v>
      </c>
      <c r="F33">
        <v>0.56061402999999999</v>
      </c>
      <c r="G33">
        <v>15.60862386</v>
      </c>
      <c r="H33">
        <v>13.733131849999999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0.56061402999999999</v>
      </c>
      <c r="J34">
        <v>15.60862386</v>
      </c>
      <c r="K34">
        <v>13.733131849999999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-0.55536772999999995</v>
      </c>
      <c r="J35">
        <f>G33+G35</f>
        <v>14.8959013</v>
      </c>
      <c r="K35">
        <f>H33+H35</f>
        <v>13.75268391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1.47671482</v>
      </c>
      <c r="J36">
        <f>G33+G36</f>
        <v>14.65248695</v>
      </c>
      <c r="K36">
        <f>H33+H36</f>
        <v>13.69534636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0.66311779999999998</v>
      </c>
      <c r="J37">
        <f>G33+G37</f>
        <v>16.336015449999998</v>
      </c>
      <c r="K37">
        <f>H33+H37</f>
        <v>14.55991901</v>
      </c>
    </row>
    <row r="40" spans="1:11" x14ac:dyDescent="0.3">
      <c r="A40" t="s">
        <v>28</v>
      </c>
      <c r="F40">
        <v>0.56061402999999999</v>
      </c>
      <c r="G40">
        <v>15.60862386</v>
      </c>
      <c r="H40">
        <v>13.733131849999999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0.56061402999999999</v>
      </c>
      <c r="J41">
        <v>15.60862386</v>
      </c>
      <c r="K41">
        <v>13.733131849999999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1.9803445499999999</v>
      </c>
      <c r="J42">
        <f>G40+G42</f>
        <v>15.63297279</v>
      </c>
      <c r="K42">
        <f>H40+H42</f>
        <v>13.74629534</v>
      </c>
    </row>
    <row r="43" spans="1:11" x14ac:dyDescent="0.3">
      <c r="B43" t="s">
        <v>18</v>
      </c>
    </row>
    <row r="46" spans="1:11" x14ac:dyDescent="0.3">
      <c r="A46" t="s">
        <v>29</v>
      </c>
      <c r="F46">
        <v>0.56061402999999999</v>
      </c>
      <c r="G46">
        <v>15.60862386</v>
      </c>
      <c r="H46">
        <v>13.733131849999999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0.56061402999999999</v>
      </c>
      <c r="J47">
        <v>15.60862386</v>
      </c>
      <c r="K47">
        <v>13.733131849999999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-0.42527714000000016</v>
      </c>
      <c r="J48">
        <f>G46+G48</f>
        <v>14.67322147</v>
      </c>
      <c r="K48">
        <f>H46+H48</f>
        <v>13.493464979999999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1.4582393</v>
      </c>
      <c r="J49">
        <f>G46+G49</f>
        <v>15.354576119999999</v>
      </c>
      <c r="K49">
        <f>H46+H49</f>
        <v>13.14838363</v>
      </c>
    </row>
    <row r="52" spans="1:11" x14ac:dyDescent="0.3">
      <c r="A52" t="s">
        <v>30</v>
      </c>
      <c r="F52">
        <v>0.56061402999999999</v>
      </c>
      <c r="G52">
        <v>15.60862386</v>
      </c>
      <c r="H52">
        <v>13.733131849999999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0.56061402999999999</v>
      </c>
      <c r="J53">
        <v>15.60862386</v>
      </c>
      <c r="K53">
        <v>13.733131849999999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-0.50716906000000006</v>
      </c>
      <c r="J54">
        <f>G52+G54</f>
        <v>15.07755534</v>
      </c>
      <c r="K54">
        <f>H52+H54</f>
        <v>12.981670579999999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1.71323761</v>
      </c>
      <c r="J55">
        <f>G52+G55</f>
        <v>14.983207739999999</v>
      </c>
      <c r="K55">
        <f>H52+H55</f>
        <v>13.21621592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0.62328209999999995</v>
      </c>
      <c r="J56">
        <f>G52+G56</f>
        <v>16.699122190000001</v>
      </c>
      <c r="K56">
        <f>H52+H56</f>
        <v>13.578523329999999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0.56061402999999999</v>
      </c>
      <c r="G61">
        <v>15.60862386</v>
      </c>
      <c r="H61">
        <v>13.733131849999999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0.56061402999999999</v>
      </c>
      <c r="J62">
        <v>15.60862386</v>
      </c>
      <c r="K62">
        <v>13.733131849999999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-4.1614339999999972E-2</v>
      </c>
      <c r="J63">
        <f>G61+G63</f>
        <v>16.29046086</v>
      </c>
      <c r="K63">
        <f>H61+H63</f>
        <v>12.779533799999999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-0.63047889000000001</v>
      </c>
      <c r="J64">
        <f>G61+G64</f>
        <v>15.068529269999999</v>
      </c>
      <c r="K64">
        <f>H61+H64</f>
        <v>12.48078312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0.49636752000000001</v>
      </c>
      <c r="J65">
        <f>G61+G65</f>
        <v>16.665807969999999</v>
      </c>
      <c r="K65">
        <f>H61+H65</f>
        <v>11.892357989999999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0.56061402999999999</v>
      </c>
      <c r="G70">
        <v>15.60862386</v>
      </c>
      <c r="H70">
        <v>13.733131849999999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0.56061402999999999</v>
      </c>
      <c r="J71">
        <v>15.60862386</v>
      </c>
      <c r="K71">
        <v>13.733131849999999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0.56211475999999994</v>
      </c>
      <c r="J72">
        <f>G70+G72</f>
        <v>16.93292314</v>
      </c>
      <c r="K72">
        <f>H70+H72</f>
        <v>13.73302011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-0.39038481000000003</v>
      </c>
      <c r="J73">
        <f>G70+G73</f>
        <v>17.436649299999999</v>
      </c>
      <c r="K73">
        <f>H70+H73</f>
        <v>13.987399159999999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1.2595524499999999</v>
      </c>
      <c r="J74">
        <f>G70+G74</f>
        <v>17.4348186</v>
      </c>
      <c r="K74">
        <f>H70+H74</f>
        <v>14.431150749999999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0.56061402999999999</v>
      </c>
      <c r="G81">
        <v>15.60862386</v>
      </c>
      <c r="H81">
        <v>13.733131849999999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0.56061402999999999</v>
      </c>
      <c r="J82">
        <v>15.60862386</v>
      </c>
      <c r="K82">
        <v>13.733131849999999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1.9554329799999999</v>
      </c>
      <c r="J83">
        <f>G81+G83</f>
        <v>15.853184499999999</v>
      </c>
      <c r="K83">
        <f>H81+H83</f>
        <v>13.856481309999999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1.5044799999999858E-2</v>
      </c>
      <c r="J84">
        <f>G81+G84</f>
        <v>16.563617780000001</v>
      </c>
      <c r="K84">
        <f>H81+H84</f>
        <v>13.663134059999999</v>
      </c>
    </row>
    <row r="85" spans="1:11" x14ac:dyDescent="0.3">
      <c r="B85" t="s">
        <v>44</v>
      </c>
    </row>
    <row r="88" spans="1:11" x14ac:dyDescent="0.3">
      <c r="A88" t="s">
        <v>45</v>
      </c>
      <c r="F88">
        <v>0.56061402999999999</v>
      </c>
      <c r="G88">
        <v>15.60862386</v>
      </c>
      <c r="H88">
        <v>13.733131849999999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0.56061402999999999</v>
      </c>
      <c r="J89">
        <v>15.60862386</v>
      </c>
      <c r="K89">
        <v>13.733131849999999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-0.71695685999999981</v>
      </c>
      <c r="J90">
        <f>G88+G90</f>
        <v>14.98750289</v>
      </c>
      <c r="K90">
        <f>H88+H90</f>
        <v>13.760151579999999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1.34868053</v>
      </c>
      <c r="J91">
        <f>G88+G91</f>
        <v>14.841146670000001</v>
      </c>
      <c r="K91">
        <f>H88+H91</f>
        <v>13.801117359999999</v>
      </c>
    </row>
    <row r="92" spans="1:11" x14ac:dyDescent="0.3">
      <c r="B92" t="s">
        <v>47</v>
      </c>
    </row>
    <row r="95" spans="1:11" x14ac:dyDescent="0.3">
      <c r="A95" t="s">
        <v>48</v>
      </c>
      <c r="F95">
        <v>0.56061402999999999</v>
      </c>
      <c r="G95">
        <v>15.60862386</v>
      </c>
      <c r="H95">
        <v>13.733131849999999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0.56061402999999999</v>
      </c>
      <c r="J96">
        <v>15.60862386</v>
      </c>
      <c r="K96">
        <v>13.733131849999999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0.75177285999999999</v>
      </c>
      <c r="J97">
        <f>G95+G97</f>
        <v>16.80255322</v>
      </c>
      <c r="K97">
        <f>H95+H97</f>
        <v>13.731820559999999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0.56061402999999999</v>
      </c>
      <c r="G102">
        <v>15.60862386</v>
      </c>
      <c r="H102">
        <v>13.733131849999999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0.56061402999999999</v>
      </c>
      <c r="J103">
        <v>15.60862386</v>
      </c>
      <c r="K103">
        <v>13.733131849999999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0.67990353999999997</v>
      </c>
      <c r="J104">
        <f>G102+G104</f>
        <v>16.918152020000001</v>
      </c>
      <c r="K104">
        <f>H102+H104</f>
        <v>14.259145759999999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0.56061402999999999</v>
      </c>
      <c r="G114">
        <v>15.60862386</v>
      </c>
      <c r="H114">
        <v>13.733131849999999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0.56061402999999999</v>
      </c>
      <c r="J115">
        <v>15.60862386</v>
      </c>
      <c r="K115">
        <v>13.733131849999999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1.6610989599999999</v>
      </c>
      <c r="J116">
        <f>G114+G116</f>
        <v>15.574935549999999</v>
      </c>
      <c r="K116">
        <f>H114+H116</f>
        <v>13.733131849999999</v>
      </c>
    </row>
    <row r="119" spans="1:11" x14ac:dyDescent="0.3">
      <c r="A119" t="s">
        <v>53</v>
      </c>
      <c r="F119">
        <v>0.56061402999999999</v>
      </c>
      <c r="G119">
        <v>15.60862386</v>
      </c>
      <c r="H119">
        <v>13.733131849999999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0.56061402999999999</v>
      </c>
      <c r="J120">
        <v>15.60862386</v>
      </c>
      <c r="K120">
        <v>13.733131849999999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0.13025090999999994</v>
      </c>
      <c r="J121">
        <f>G119+G121</f>
        <v>16.839665570000001</v>
      </c>
      <c r="K121">
        <f>H119+H121</f>
        <v>13.165435819999999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1.09126214</v>
      </c>
      <c r="J122">
        <f>G119+G122</f>
        <v>15.010081359999999</v>
      </c>
      <c r="K122">
        <f>H119+H122</f>
        <v>12.97504393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-0.31240591000000006</v>
      </c>
      <c r="J123">
        <f>G119+G123</f>
        <v>15.0440098</v>
      </c>
      <c r="K123">
        <f>H119+H123</f>
        <v>14.09881779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0.56061402999999999</v>
      </c>
      <c r="G130">
        <v>15.60862386</v>
      </c>
      <c r="H130">
        <v>13.733131849999999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0.56061402999999999</v>
      </c>
      <c r="J131">
        <v>15.60862386</v>
      </c>
      <c r="K131">
        <v>13.733131849999999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-0.29032095000000002</v>
      </c>
      <c r="J132">
        <f>G130+G132</f>
        <v>14.90997265</v>
      </c>
      <c r="K132">
        <f>H130+H132</f>
        <v>13.733131849999999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1.5032385399999999</v>
      </c>
      <c r="J133">
        <f>G130+G133</f>
        <v>15.039712059999999</v>
      </c>
      <c r="K133">
        <f>H130+H133</f>
        <v>13.733131849999999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0.56061402999999999</v>
      </c>
      <c r="G144">
        <v>15.60862386</v>
      </c>
      <c r="H144">
        <v>13.733131849999999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0.56061402999999999</v>
      </c>
      <c r="J145">
        <v>15.60862386</v>
      </c>
      <c r="K145">
        <v>13.733131849999999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1.4242864399999999</v>
      </c>
      <c r="J146">
        <f>G144+G146</f>
        <v>14.92578348</v>
      </c>
      <c r="K146">
        <f>H144+H146</f>
        <v>13.733131849999999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-0.46257926999999999</v>
      </c>
      <c r="J147">
        <f>G144+G147</f>
        <v>15.202081870000001</v>
      </c>
      <c r="K147">
        <f>H144+H147</f>
        <v>13.733131849999999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0.72013496999999993</v>
      </c>
      <c r="J148">
        <f>G144+G148</f>
        <v>16.698006320000001</v>
      </c>
      <c r="K148">
        <f>H144+H148</f>
        <v>13.733131849999999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73135-F895-41F4-9AD4-A827E7F9BBB7}">
  <dimension ref="A1:K148"/>
  <sheetViews>
    <sheetView workbookViewId="0">
      <selection activeCell="K18" sqref="K18"/>
    </sheetView>
  </sheetViews>
  <sheetFormatPr defaultRowHeight="14.4" x14ac:dyDescent="0.3"/>
  <cols>
    <col min="1" max="1" width="19.6640625" customWidth="1"/>
    <col min="2" max="2" width="18.21875" customWidth="1"/>
    <col min="3" max="3" width="16.88671875" customWidth="1"/>
    <col min="4" max="4" width="21.109375" customWidth="1"/>
    <col min="5" max="5" width="19.21875" customWidth="1"/>
    <col min="6" max="6" width="17.21875" customWidth="1"/>
    <col min="7" max="7" width="18" customWidth="1"/>
    <col min="8" max="8" width="19.44140625" customWidth="1"/>
    <col min="9" max="9" width="17.77734375" customWidth="1"/>
    <col min="10" max="10" width="20.55468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11.98259376</v>
      </c>
      <c r="G2">
        <v>5.1781823400000002</v>
      </c>
      <c r="H2">
        <v>6.2334611600000001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11.98259376</v>
      </c>
      <c r="J3">
        <v>5.1781823400000002</v>
      </c>
      <c r="K3">
        <v>6.2334611600000001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10.82259825</v>
      </c>
      <c r="J4">
        <f>G2+G4</f>
        <v>5.1845132100000004</v>
      </c>
      <c r="K4">
        <f>H2+H4</f>
        <v>6.23371517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13.14258796</v>
      </c>
      <c r="J5">
        <f>G2+G5</f>
        <v>5.1722411099999999</v>
      </c>
      <c r="K5">
        <f>H2+H5</f>
        <v>6.23371517</v>
      </c>
    </row>
    <row r="8" spans="1:11" x14ac:dyDescent="0.3">
      <c r="A8" t="s">
        <v>15</v>
      </c>
      <c r="F8">
        <v>11.98259376</v>
      </c>
      <c r="G8">
        <v>5.1781823400000002</v>
      </c>
      <c r="H8">
        <v>6.2334611600000001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11.98259376</v>
      </c>
      <c r="J9">
        <v>5.1781823400000002</v>
      </c>
      <c r="K9">
        <v>6.2334611600000001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12.28758425</v>
      </c>
      <c r="J10">
        <f>G8+G10</f>
        <v>6.5230245500000006</v>
      </c>
      <c r="K10">
        <f>H8+H10</f>
        <v>6.1793646600000001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13.16882015</v>
      </c>
      <c r="J11">
        <f>G8+G11</f>
        <v>4.4154242000000004</v>
      </c>
      <c r="K11">
        <f>H8+H11</f>
        <v>6.0672188499999997</v>
      </c>
    </row>
    <row r="12" spans="1:11" x14ac:dyDescent="0.3">
      <c r="B12" t="s">
        <v>18</v>
      </c>
    </row>
    <row r="15" spans="1:11" x14ac:dyDescent="0.3">
      <c r="A15" t="s">
        <v>19</v>
      </c>
      <c r="F15">
        <v>11.98259376</v>
      </c>
      <c r="G15">
        <v>5.1781823400000002</v>
      </c>
      <c r="H15">
        <v>6.2334611600000001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11.98259376</v>
      </c>
      <c r="J16">
        <v>5.1781823400000002</v>
      </c>
      <c r="K16">
        <v>6.2334611600000001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13.09499143</v>
      </c>
      <c r="J17">
        <f>G15+G17</f>
        <v>5.6527842399999999</v>
      </c>
      <c r="K17">
        <f>H15+H17</f>
        <v>6.46887335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14.223406900000001</v>
      </c>
      <c r="J18">
        <f>G15+G18</f>
        <v>5.2432775100000004</v>
      </c>
      <c r="K18">
        <f>H15+H18</f>
        <v>6.1912455199999998</v>
      </c>
    </row>
    <row r="19" spans="1:11" x14ac:dyDescent="0.3">
      <c r="B19" t="s">
        <v>18</v>
      </c>
    </row>
    <row r="22" spans="1:11" x14ac:dyDescent="0.3">
      <c r="A22" t="s">
        <v>21</v>
      </c>
      <c r="F22">
        <v>11.98259376</v>
      </c>
      <c r="G22">
        <v>5.1781823400000002</v>
      </c>
      <c r="H22">
        <v>6.2334611600000001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11.98259376</v>
      </c>
      <c r="J23">
        <v>5.1781823400000002</v>
      </c>
      <c r="K23">
        <v>6.2334611600000001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13.11088992</v>
      </c>
      <c r="J24">
        <f>G22+G24</f>
        <v>5.1811636100000005</v>
      </c>
      <c r="K24">
        <f>H22+H24</f>
        <v>6.2334459999999998</v>
      </c>
    </row>
    <row r="27" spans="1:11" x14ac:dyDescent="0.3">
      <c r="A27" t="s">
        <v>23</v>
      </c>
      <c r="F27">
        <v>11.98259376</v>
      </c>
      <c r="G27">
        <v>5.1781823400000002</v>
      </c>
      <c r="H27">
        <v>6.2334611600000001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11.98259376</v>
      </c>
      <c r="J28">
        <v>5.1781823400000002</v>
      </c>
      <c r="K28">
        <v>6.2334611600000001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12.00893701</v>
      </c>
      <c r="J29">
        <f>G27+G29</f>
        <v>6.3845853000000004</v>
      </c>
      <c r="K29">
        <f>H27+H29</f>
        <v>6.2885373300000005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10.88614407</v>
      </c>
      <c r="J30">
        <f>G27+G30</f>
        <v>4.4480940000000002</v>
      </c>
      <c r="K30">
        <f>H27+H30</f>
        <v>6.5222021699999999</v>
      </c>
    </row>
    <row r="33" spans="1:11" x14ac:dyDescent="0.3">
      <c r="A33" t="s">
        <v>24</v>
      </c>
      <c r="F33">
        <v>11.98259376</v>
      </c>
      <c r="G33">
        <v>5.1781823400000002</v>
      </c>
      <c r="H33">
        <v>6.2334611600000001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11.98259376</v>
      </c>
      <c r="J34">
        <v>5.1781823400000002</v>
      </c>
      <c r="K34">
        <v>6.2334611600000001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10.866612</v>
      </c>
      <c r="J35">
        <f>G33+G35</f>
        <v>4.4654597799999998</v>
      </c>
      <c r="K35">
        <f>H33+H35</f>
        <v>6.2530132199999997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12.89869455</v>
      </c>
      <c r="J36">
        <f>G33+G36</f>
        <v>4.2220454299999997</v>
      </c>
      <c r="K36">
        <f>H33+H36</f>
        <v>6.19567567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12.085097530000001</v>
      </c>
      <c r="J37">
        <f>G33+G37</f>
        <v>5.9055739300000001</v>
      </c>
      <c r="K37">
        <f>H33+H37</f>
        <v>7.0602483200000004</v>
      </c>
    </row>
    <row r="40" spans="1:11" x14ac:dyDescent="0.3">
      <c r="A40" t="s">
        <v>28</v>
      </c>
      <c r="F40">
        <v>11.98259376</v>
      </c>
      <c r="G40">
        <v>5.1781823400000002</v>
      </c>
      <c r="H40">
        <v>6.2334611600000001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11.98259376</v>
      </c>
      <c r="J41">
        <v>5.1781823400000002</v>
      </c>
      <c r="K41">
        <v>6.2334611600000001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13.40232428</v>
      </c>
      <c r="J42">
        <f>G40+G42</f>
        <v>5.2025312700000006</v>
      </c>
      <c r="K42">
        <f>H40+H42</f>
        <v>6.2466246500000002</v>
      </c>
    </row>
    <row r="43" spans="1:11" x14ac:dyDescent="0.3">
      <c r="B43" t="s">
        <v>18</v>
      </c>
    </row>
    <row r="46" spans="1:11" x14ac:dyDescent="0.3">
      <c r="A46" t="s">
        <v>29</v>
      </c>
      <c r="F46">
        <v>11.98259376</v>
      </c>
      <c r="G46">
        <v>5.1781823400000002</v>
      </c>
      <c r="H46">
        <v>6.2334611600000001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11.98259376</v>
      </c>
      <c r="J47">
        <v>5.1781823400000002</v>
      </c>
      <c r="K47">
        <v>6.2334611600000001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10.99670259</v>
      </c>
      <c r="J48">
        <f>G46+G48</f>
        <v>4.2427799500000001</v>
      </c>
      <c r="K48">
        <f>H46+H48</f>
        <v>5.9937942900000003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12.880219030000001</v>
      </c>
      <c r="J49">
        <f>G46+G49</f>
        <v>4.9241346000000004</v>
      </c>
      <c r="K49">
        <f>H46+H49</f>
        <v>5.6487129400000002</v>
      </c>
    </row>
    <row r="52" spans="1:11" x14ac:dyDescent="0.3">
      <c r="A52" t="s">
        <v>30</v>
      </c>
      <c r="F52">
        <v>11.98259376</v>
      </c>
      <c r="G52">
        <v>5.1781823400000002</v>
      </c>
      <c r="H52">
        <v>6.2334611600000001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11.98259376</v>
      </c>
      <c r="J53">
        <v>5.1781823400000002</v>
      </c>
      <c r="K53">
        <v>6.2334611600000001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10.91481067</v>
      </c>
      <c r="J54">
        <f>G52+G54</f>
        <v>4.6471138200000004</v>
      </c>
      <c r="K54">
        <f>H52+H54</f>
        <v>5.48199989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13.135217340000001</v>
      </c>
      <c r="J55">
        <f>G52+G55</f>
        <v>4.5527662200000005</v>
      </c>
      <c r="K55">
        <f>H52+H55</f>
        <v>5.7165452300000004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12.045261830000001</v>
      </c>
      <c r="J56">
        <f>G52+G56</f>
        <v>6.2686806700000002</v>
      </c>
      <c r="K56">
        <f>H52+H56</f>
        <v>6.07885264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11.98259376</v>
      </c>
      <c r="G61">
        <v>5.1781823400000002</v>
      </c>
      <c r="H61">
        <v>6.2334611600000001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11.98259376</v>
      </c>
      <c r="J62">
        <v>5.1781823400000002</v>
      </c>
      <c r="K62">
        <v>6.2334611600000001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11.38036539</v>
      </c>
      <c r="J63">
        <f>G61+G63</f>
        <v>5.86001934</v>
      </c>
      <c r="K63">
        <f>H61+H63</f>
        <v>5.27986311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10.791500840000001</v>
      </c>
      <c r="J64">
        <f>G61+G64</f>
        <v>4.6380877500000004</v>
      </c>
      <c r="K64">
        <f>H61+H64</f>
        <v>4.9811124299999996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11.91834725</v>
      </c>
      <c r="J65">
        <f>G61+G65</f>
        <v>6.2353664499999999</v>
      </c>
      <c r="K65">
        <f>H61+H65</f>
        <v>4.3926873000000004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11.98259376</v>
      </c>
      <c r="G70">
        <v>5.1781823400000002</v>
      </c>
      <c r="H70">
        <v>6.2334611600000001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11.98259376</v>
      </c>
      <c r="J71">
        <v>5.1781823400000002</v>
      </c>
      <c r="K71">
        <v>6.2334611600000001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11.98409449</v>
      </c>
      <c r="J72">
        <f>G70+G72</f>
        <v>6.5024816200000002</v>
      </c>
      <c r="K72">
        <f>H70+H72</f>
        <v>6.2333494199999997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11.03159492</v>
      </c>
      <c r="J73">
        <f>G70+G73</f>
        <v>7.0062077800000004</v>
      </c>
      <c r="K73">
        <f>H70+H73</f>
        <v>6.4877284700000004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12.68153218</v>
      </c>
      <c r="J74">
        <f>G70+G74</f>
        <v>7.0043770800000003</v>
      </c>
      <c r="K74">
        <f>H70+H74</f>
        <v>6.9314800600000002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11.98259376</v>
      </c>
      <c r="G81">
        <v>5.1781823400000002</v>
      </c>
      <c r="H81">
        <v>6.2334611600000001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11.98259376</v>
      </c>
      <c r="J82">
        <v>5.1781823400000002</v>
      </c>
      <c r="K82">
        <v>6.2334611600000001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13.37741271</v>
      </c>
      <c r="J83">
        <f>G81+G83</f>
        <v>5.4227429800000007</v>
      </c>
      <c r="K83">
        <f>H81+H83</f>
        <v>6.3568106200000001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11.43702453</v>
      </c>
      <c r="J84">
        <f>G81+G84</f>
        <v>6.1331762599999999</v>
      </c>
      <c r="K84">
        <f>H81+H84</f>
        <v>6.1634633699999997</v>
      </c>
    </row>
    <row r="85" spans="1:11" x14ac:dyDescent="0.3">
      <c r="B85" t="s">
        <v>44</v>
      </c>
    </row>
    <row r="88" spans="1:11" x14ac:dyDescent="0.3">
      <c r="A88" t="s">
        <v>45</v>
      </c>
      <c r="F88">
        <v>11.98259376</v>
      </c>
      <c r="G88">
        <v>5.1781823400000002</v>
      </c>
      <c r="H88">
        <v>6.2334611600000001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11.98259376</v>
      </c>
      <c r="J89">
        <v>5.1781823400000002</v>
      </c>
      <c r="K89">
        <v>6.2334611600000001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10.705022870000001</v>
      </c>
      <c r="J90">
        <f>G88+G90</f>
        <v>4.5570613700000004</v>
      </c>
      <c r="K90">
        <f>H88+H90</f>
        <v>6.2604808900000002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12.77066026</v>
      </c>
      <c r="J91">
        <f>G88+G91</f>
        <v>4.4107051500000001</v>
      </c>
      <c r="K91">
        <f>H88+H91</f>
        <v>6.3014466699999998</v>
      </c>
    </row>
    <row r="92" spans="1:11" x14ac:dyDescent="0.3">
      <c r="B92" t="s">
        <v>47</v>
      </c>
    </row>
    <row r="95" spans="1:11" x14ac:dyDescent="0.3">
      <c r="A95" t="s">
        <v>48</v>
      </c>
      <c r="F95">
        <v>11.98259376</v>
      </c>
      <c r="G95">
        <v>5.1781823400000002</v>
      </c>
      <c r="H95">
        <v>6.2334611600000001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11.98259376</v>
      </c>
      <c r="J96">
        <v>5.1781823400000002</v>
      </c>
      <c r="K96">
        <v>6.2334611600000001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12.173752589999999</v>
      </c>
      <c r="J97">
        <f>G95+G97</f>
        <v>6.3721117000000005</v>
      </c>
      <c r="K97">
        <f>H95+H97</f>
        <v>6.2321498699999998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11.98259376</v>
      </c>
      <c r="G102">
        <v>5.1781823400000002</v>
      </c>
      <c r="H102">
        <v>6.2334611600000001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11.98259376</v>
      </c>
      <c r="J103">
        <v>5.1781823400000002</v>
      </c>
      <c r="K103">
        <v>6.2334611600000001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12.10188327</v>
      </c>
      <c r="J104">
        <f>G102+G104</f>
        <v>6.4877105000000004</v>
      </c>
      <c r="K104">
        <f>H102+H104</f>
        <v>6.7594750699999997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11.98259376</v>
      </c>
      <c r="G114">
        <v>5.1781823400000002</v>
      </c>
      <c r="H114">
        <v>6.2334611600000001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11.98259376</v>
      </c>
      <c r="J115">
        <v>5.1781823400000002</v>
      </c>
      <c r="K115">
        <v>6.2334611600000001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13.083078690000001</v>
      </c>
      <c r="J116">
        <f>G114+G116</f>
        <v>5.1444940300000006</v>
      </c>
      <c r="K116">
        <f>H114+H116</f>
        <v>6.2334611600000001</v>
      </c>
    </row>
    <row r="119" spans="1:11" x14ac:dyDescent="0.3">
      <c r="A119" t="s">
        <v>53</v>
      </c>
      <c r="F119">
        <v>11.98259376</v>
      </c>
      <c r="G119">
        <v>5.1781823400000002</v>
      </c>
      <c r="H119">
        <v>6.2334611600000001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11.98259376</v>
      </c>
      <c r="J120">
        <v>5.1781823400000002</v>
      </c>
      <c r="K120">
        <v>6.2334611600000001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11.552230639999999</v>
      </c>
      <c r="J121">
        <f>G119+G121</f>
        <v>6.4092240500000006</v>
      </c>
      <c r="K121">
        <f>H119+H121</f>
        <v>5.6657651300000005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12.51324187</v>
      </c>
      <c r="J122">
        <f>G119+G122</f>
        <v>4.5796398400000005</v>
      </c>
      <c r="K122">
        <f>H119+H122</f>
        <v>5.4753732399999997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11.10957382</v>
      </c>
      <c r="J123">
        <f>G119+G123</f>
        <v>4.61356828</v>
      </c>
      <c r="K123">
        <f>H119+H123</f>
        <v>6.5991470999999997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11.98259376</v>
      </c>
      <c r="G130">
        <v>5.1781823400000002</v>
      </c>
      <c r="H130">
        <v>6.2334611600000001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11.98259376</v>
      </c>
      <c r="J131">
        <v>5.1781823400000002</v>
      </c>
      <c r="K131">
        <v>6.2334611600000001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11.13165878</v>
      </c>
      <c r="J132">
        <f>G130+G132</f>
        <v>4.4795311299999998</v>
      </c>
      <c r="K132">
        <f>H130+H132</f>
        <v>6.2334611600000001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12.92521827</v>
      </c>
      <c r="J133">
        <f>G130+G133</f>
        <v>4.6092705400000007</v>
      </c>
      <c r="K133">
        <f>H130+H133</f>
        <v>6.2334611600000001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11.98259376</v>
      </c>
      <c r="G144">
        <v>5.1781823400000002</v>
      </c>
      <c r="H144">
        <v>6.2334611600000001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11.98259376</v>
      </c>
      <c r="J145">
        <v>5.1781823400000002</v>
      </c>
      <c r="K145">
        <v>6.2334611600000001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12.84626617</v>
      </c>
      <c r="J146">
        <f>G144+G146</f>
        <v>4.4953419600000002</v>
      </c>
      <c r="K146">
        <f>H144+H146</f>
        <v>6.2334611600000001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10.959400460000001</v>
      </c>
      <c r="J147">
        <f>G144+G147</f>
        <v>4.7716403500000002</v>
      </c>
      <c r="K147">
        <f>H144+H147</f>
        <v>6.2334611600000001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12.1421147</v>
      </c>
      <c r="J148">
        <f>G144+G148</f>
        <v>6.2675648000000006</v>
      </c>
      <c r="K148">
        <f>H144+H148</f>
        <v>6.2334611600000001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F48C-94C5-4D86-9F3E-7AB1A485D9A4}">
  <dimension ref="A1:K148"/>
  <sheetViews>
    <sheetView topLeftCell="A27" workbookViewId="0">
      <selection activeCell="K49" sqref="K49"/>
    </sheetView>
  </sheetViews>
  <sheetFormatPr defaultRowHeight="14.4" x14ac:dyDescent="0.3"/>
  <cols>
    <col min="1" max="1" width="16.77734375" customWidth="1"/>
    <col min="2" max="2" width="19" customWidth="1"/>
    <col min="3" max="3" width="15.5546875" customWidth="1"/>
    <col min="4" max="4" width="15.21875" customWidth="1"/>
    <col min="5" max="5" width="16.21875" customWidth="1"/>
    <col min="6" max="6" width="17.21875" customWidth="1"/>
    <col min="7" max="7" width="15.44140625" customWidth="1"/>
    <col min="8" max="8" width="17.21875" customWidth="1"/>
    <col min="9" max="9" width="18.88671875" customWidth="1"/>
    <col min="10" max="10" width="17.88671875" customWidth="1"/>
    <col min="11" max="11" width="17.6640625" customWidth="1"/>
    <col min="12" max="12" width="17.109375" customWidth="1"/>
  </cols>
  <sheetData>
    <row r="1" spans="1:11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4</v>
      </c>
      <c r="F2">
        <v>12.52629864</v>
      </c>
      <c r="G2">
        <v>5.1739207599999997</v>
      </c>
      <c r="H2">
        <v>6.23554487</v>
      </c>
    </row>
    <row r="3" spans="1:11" x14ac:dyDescent="0.3">
      <c r="B3" t="s">
        <v>11</v>
      </c>
      <c r="C3">
        <v>-0.36429383999999998</v>
      </c>
      <c r="D3">
        <v>0.52354756999999996</v>
      </c>
      <c r="E3">
        <v>-1.6934E-4</v>
      </c>
      <c r="F3">
        <f>C3-C3</f>
        <v>0</v>
      </c>
      <c r="G3">
        <f>D3-D3</f>
        <v>0</v>
      </c>
      <c r="H3">
        <f>E3-E3</f>
        <v>0</v>
      </c>
      <c r="I3">
        <v>12.52629864</v>
      </c>
      <c r="J3">
        <v>5.1739207599999997</v>
      </c>
      <c r="K3">
        <v>6.23554487</v>
      </c>
    </row>
    <row r="4" spans="1:11" x14ac:dyDescent="0.3">
      <c r="B4" t="s">
        <v>12</v>
      </c>
      <c r="C4">
        <v>-1.5242893500000001</v>
      </c>
      <c r="D4">
        <v>0.52987843999999995</v>
      </c>
      <c r="E4">
        <v>8.4670000000000001E-5</v>
      </c>
      <c r="F4">
        <f>C4-C3</f>
        <v>-1.1599955100000001</v>
      </c>
      <c r="G4">
        <f>D4-D3</f>
        <v>6.3308699999999885E-3</v>
      </c>
      <c r="H4">
        <f>E4-E3</f>
        <v>2.5400999999999999E-4</v>
      </c>
      <c r="I4">
        <f>F2+F4</f>
        <v>11.36630313</v>
      </c>
      <c r="J4">
        <f>G2+G4</f>
        <v>5.1802516299999999</v>
      </c>
      <c r="K4">
        <f>H2+H4</f>
        <v>6.2357988799999999</v>
      </c>
    </row>
    <row r="5" spans="1:11" x14ac:dyDescent="0.3">
      <c r="B5" t="s">
        <v>13</v>
      </c>
      <c r="C5">
        <v>0.79570036</v>
      </c>
      <c r="D5">
        <v>0.51760634000000005</v>
      </c>
      <c r="E5">
        <v>8.4670000000000001E-5</v>
      </c>
      <c r="F5">
        <f>C5-C3</f>
        <v>1.1599941999999999</v>
      </c>
      <c r="G5">
        <f>D5-D3</f>
        <v>-5.9412299999999085E-3</v>
      </c>
      <c r="H5">
        <f>E5-E3</f>
        <v>2.5400999999999999E-4</v>
      </c>
      <c r="I5">
        <f>F2+F5</f>
        <v>13.68629284</v>
      </c>
      <c r="J5">
        <f>G2+G5</f>
        <v>5.1679795300000002</v>
      </c>
      <c r="K5">
        <f>H2+H5</f>
        <v>6.2357988799999999</v>
      </c>
    </row>
    <row r="8" spans="1:11" x14ac:dyDescent="0.3">
      <c r="A8" t="s">
        <v>15</v>
      </c>
      <c r="F8">
        <v>12.52629864</v>
      </c>
      <c r="G8">
        <v>5.1739207599999997</v>
      </c>
      <c r="H8">
        <v>6.23554487</v>
      </c>
    </row>
    <row r="9" spans="1:11" x14ac:dyDescent="0.3">
      <c r="B9" t="s">
        <v>11</v>
      </c>
      <c r="C9">
        <v>-0.45413618</v>
      </c>
      <c r="D9">
        <v>0.74755934999999996</v>
      </c>
      <c r="E9">
        <v>9.3895179999999995E-2</v>
      </c>
      <c r="F9">
        <f>C9-C9</f>
        <v>0</v>
      </c>
      <c r="G9">
        <f>D9-D9</f>
        <v>0</v>
      </c>
      <c r="H9">
        <f>E9-E9</f>
        <v>0</v>
      </c>
      <c r="I9">
        <v>12.52629864</v>
      </c>
      <c r="J9">
        <v>5.1739207599999997</v>
      </c>
      <c r="K9">
        <v>6.23554487</v>
      </c>
    </row>
    <row r="10" spans="1:11" x14ac:dyDescent="0.3">
      <c r="B10" t="s">
        <v>16</v>
      </c>
      <c r="C10">
        <v>-0.14914569</v>
      </c>
      <c r="D10">
        <v>2.0924015599999999</v>
      </c>
      <c r="E10">
        <v>3.9798680000000003E-2</v>
      </c>
      <c r="F10">
        <f>C10-C9</f>
        <v>0.30499049</v>
      </c>
      <c r="G10">
        <f>D10-D9</f>
        <v>1.3448422099999999</v>
      </c>
      <c r="H10">
        <f>E10-E9</f>
        <v>-5.4096499999999992E-2</v>
      </c>
      <c r="I10">
        <f>F8+F10</f>
        <v>12.83128913</v>
      </c>
      <c r="J10">
        <f>G8+G10</f>
        <v>6.5187629699999992</v>
      </c>
      <c r="K10">
        <f>H8+H10</f>
        <v>6.18144837</v>
      </c>
    </row>
    <row r="11" spans="1:11" x14ac:dyDescent="0.3">
      <c r="B11" t="s">
        <v>17</v>
      </c>
      <c r="C11">
        <v>0.73209020999999996</v>
      </c>
      <c r="D11">
        <v>-1.519879E-2</v>
      </c>
      <c r="E11">
        <v>-7.2347129999999996E-2</v>
      </c>
      <c r="F11">
        <f>C11-C9</f>
        <v>1.1862263899999999</v>
      </c>
      <c r="G11">
        <f>D11-D9</f>
        <v>-0.76275813999999997</v>
      </c>
      <c r="H11">
        <f>E11-E9</f>
        <v>-0.16624231</v>
      </c>
      <c r="I11">
        <f>F8+F11</f>
        <v>13.71252503</v>
      </c>
      <c r="J11">
        <f>G8+G11</f>
        <v>4.4111626199999998</v>
      </c>
      <c r="K11">
        <f>H8+H11</f>
        <v>6.0693025599999997</v>
      </c>
    </row>
    <row r="12" spans="1:11" x14ac:dyDescent="0.3">
      <c r="B12" t="s">
        <v>18</v>
      </c>
    </row>
    <row r="15" spans="1:11" x14ac:dyDescent="0.3">
      <c r="A15" t="s">
        <v>19</v>
      </c>
      <c r="F15">
        <v>12.52629864</v>
      </c>
      <c r="G15">
        <v>5.1739207599999997</v>
      </c>
      <c r="H15">
        <v>6.23554487</v>
      </c>
    </row>
    <row r="16" spans="1:11" x14ac:dyDescent="0.3">
      <c r="B16" t="s">
        <v>20</v>
      </c>
      <c r="C16">
        <v>-0.47526066</v>
      </c>
      <c r="D16">
        <v>0.41982017999999999</v>
      </c>
      <c r="E16">
        <v>-1.704431E-2</v>
      </c>
      <c r="F16">
        <f>C16-C16</f>
        <v>0</v>
      </c>
      <c r="G16">
        <f>D16-D16</f>
        <v>0</v>
      </c>
      <c r="H16">
        <f>E16-E16</f>
        <v>0</v>
      </c>
      <c r="I16">
        <v>12.52629864</v>
      </c>
      <c r="J16">
        <v>5.1739207599999997</v>
      </c>
      <c r="K16">
        <v>6.23554487</v>
      </c>
    </row>
    <row r="17" spans="1:11" x14ac:dyDescent="0.3">
      <c r="B17" t="s">
        <v>11</v>
      </c>
      <c r="C17">
        <v>0.63713701</v>
      </c>
      <c r="D17">
        <v>0.89442208000000001</v>
      </c>
      <c r="E17">
        <v>0.21836787999999999</v>
      </c>
      <c r="F17">
        <f>C17-C16</f>
        <v>1.11239767</v>
      </c>
      <c r="G17">
        <f>D17-D16</f>
        <v>0.47460190000000002</v>
      </c>
      <c r="H17">
        <f>E17-E16</f>
        <v>0.23541218999999999</v>
      </c>
      <c r="I17">
        <f>F15+F17</f>
        <v>13.63869631</v>
      </c>
      <c r="J17">
        <f>G15+G17</f>
        <v>5.6485226599999994</v>
      </c>
      <c r="K17">
        <f>H15+H17</f>
        <v>6.4709570599999999</v>
      </c>
    </row>
    <row r="18" spans="1:11" x14ac:dyDescent="0.3">
      <c r="B18" t="s">
        <v>16</v>
      </c>
      <c r="C18">
        <v>1.76555248</v>
      </c>
      <c r="D18">
        <v>0.48491535000000002</v>
      </c>
      <c r="E18">
        <v>-5.9259949999999999E-2</v>
      </c>
      <c r="F18">
        <f>C18-C16</f>
        <v>2.2408131400000002</v>
      </c>
      <c r="G18">
        <f>D18-D16</f>
        <v>6.5095170000000036E-2</v>
      </c>
      <c r="H18">
        <f>E18-E16</f>
        <v>-4.2215639999999999E-2</v>
      </c>
      <c r="I18">
        <f>F15+F18</f>
        <v>14.76711178</v>
      </c>
      <c r="J18">
        <f>G15+G18</f>
        <v>5.2390159299999999</v>
      </c>
      <c r="K18">
        <f>H15+H18</f>
        <v>6.1933292299999998</v>
      </c>
    </row>
    <row r="19" spans="1:11" x14ac:dyDescent="0.3">
      <c r="B19" t="s">
        <v>18</v>
      </c>
    </row>
    <row r="22" spans="1:11" x14ac:dyDescent="0.3">
      <c r="A22" t="s">
        <v>21</v>
      </c>
      <c r="F22">
        <v>12.52629864</v>
      </c>
      <c r="G22">
        <v>5.1739207599999997</v>
      </c>
      <c r="H22">
        <v>6.23554487</v>
      </c>
    </row>
    <row r="23" spans="1:11" x14ac:dyDescent="0.3">
      <c r="B23" t="s">
        <v>11</v>
      </c>
      <c r="C23">
        <v>-0.45574948999999998</v>
      </c>
      <c r="D23">
        <v>1.10924998</v>
      </c>
      <c r="E23">
        <v>5.2037100000000003E-3</v>
      </c>
      <c r="F23">
        <f>C23-C23</f>
        <v>0</v>
      </c>
      <c r="G23">
        <f>D23-D23</f>
        <v>0</v>
      </c>
      <c r="H23">
        <f>E23-E23</f>
        <v>0</v>
      </c>
      <c r="I23">
        <v>12.52629864</v>
      </c>
      <c r="J23">
        <v>5.1739207599999997</v>
      </c>
      <c r="K23">
        <v>6.23554487</v>
      </c>
    </row>
    <row r="24" spans="1:11" x14ac:dyDescent="0.3">
      <c r="B24" t="s">
        <v>22</v>
      </c>
      <c r="C24">
        <v>0.67254667000000001</v>
      </c>
      <c r="D24">
        <v>1.11223125</v>
      </c>
      <c r="E24">
        <v>5.1885500000000001E-3</v>
      </c>
      <c r="F24">
        <f>C24-C23</f>
        <v>1.1282961600000001</v>
      </c>
      <c r="G24">
        <f>D24-D23</f>
        <v>2.9812700000000358E-3</v>
      </c>
      <c r="H24">
        <f>E24-E23</f>
        <v>-1.5160000000000173E-5</v>
      </c>
      <c r="I24">
        <f>F22+F24</f>
        <v>13.6545948</v>
      </c>
      <c r="J24">
        <f>G22+G24</f>
        <v>5.1769020299999999</v>
      </c>
      <c r="K24">
        <f>H22+H24</f>
        <v>6.2355297099999998</v>
      </c>
    </row>
    <row r="27" spans="1:11" x14ac:dyDescent="0.3">
      <c r="A27" t="s">
        <v>23</v>
      </c>
      <c r="F27">
        <v>12.52629864</v>
      </c>
      <c r="G27">
        <v>5.1739207599999997</v>
      </c>
      <c r="H27">
        <v>6.23554487</v>
      </c>
    </row>
    <row r="28" spans="1:11" x14ac:dyDescent="0.3">
      <c r="B28" t="s">
        <v>11</v>
      </c>
      <c r="C28">
        <v>-5.583051E-2</v>
      </c>
      <c r="D28">
        <v>6.2091819999999999E-2</v>
      </c>
      <c r="E28">
        <v>2.0896350000000001E-2</v>
      </c>
      <c r="F28">
        <f>C28-C28</f>
        <v>0</v>
      </c>
      <c r="G28">
        <f>D28-D28</f>
        <v>0</v>
      </c>
      <c r="H28">
        <f>E28-E28</f>
        <v>0</v>
      </c>
      <c r="I28">
        <v>12.52629864</v>
      </c>
      <c r="J28">
        <v>5.1739207599999997</v>
      </c>
      <c r="K28">
        <v>6.23554487</v>
      </c>
    </row>
    <row r="29" spans="1:11" x14ac:dyDescent="0.3">
      <c r="B29" t="s">
        <v>16</v>
      </c>
      <c r="C29">
        <v>-2.9487260000000001E-2</v>
      </c>
      <c r="D29">
        <v>1.2684947799999999</v>
      </c>
      <c r="E29">
        <v>7.5972520000000002E-2</v>
      </c>
      <c r="F29">
        <f>C29-C28</f>
        <v>2.6343249999999999E-2</v>
      </c>
      <c r="G29">
        <f>D29-D28</f>
        <v>1.2064029599999999</v>
      </c>
      <c r="H29">
        <f>E29-E28</f>
        <v>5.5076170000000001E-2</v>
      </c>
      <c r="I29">
        <f>F27+F29</f>
        <v>12.55264189</v>
      </c>
      <c r="J29">
        <f>G27+G29</f>
        <v>6.3803237199999998</v>
      </c>
      <c r="K29">
        <f>H27+H29</f>
        <v>6.2906210400000004</v>
      </c>
    </row>
    <row r="30" spans="1:11" x14ac:dyDescent="0.3">
      <c r="B30" t="s">
        <v>17</v>
      </c>
      <c r="C30">
        <v>-1.1522802000000001</v>
      </c>
      <c r="D30">
        <v>-0.66799651999999998</v>
      </c>
      <c r="E30">
        <v>0.30963735999999997</v>
      </c>
      <c r="F30">
        <f>C30-C28</f>
        <v>-1.09644969</v>
      </c>
      <c r="G30">
        <f>D30-D28</f>
        <v>-0.73008834</v>
      </c>
      <c r="H30">
        <f>E30-E28</f>
        <v>0.28874100999999996</v>
      </c>
      <c r="I30">
        <f>F27+F30</f>
        <v>11.42984895</v>
      </c>
      <c r="J30">
        <f>G27+G30</f>
        <v>4.4438324199999997</v>
      </c>
      <c r="K30">
        <f>H27+H30</f>
        <v>6.5242858799999999</v>
      </c>
    </row>
    <row r="33" spans="1:11" x14ac:dyDescent="0.3">
      <c r="A33" t="s">
        <v>24</v>
      </c>
      <c r="F33">
        <v>12.52629864</v>
      </c>
      <c r="G33">
        <v>5.1739207599999997</v>
      </c>
      <c r="H33">
        <v>6.23554487</v>
      </c>
    </row>
    <row r="34" spans="1:11" x14ac:dyDescent="0.3">
      <c r="B34" t="s">
        <v>11</v>
      </c>
      <c r="C34">
        <v>0.14792483000000001</v>
      </c>
      <c r="D34">
        <v>0.27474773000000002</v>
      </c>
      <c r="E34">
        <v>2.96664E-3</v>
      </c>
      <c r="F34">
        <f>C34-C34</f>
        <v>0</v>
      </c>
      <c r="G34">
        <f>D34-D34</f>
        <v>0</v>
      </c>
      <c r="H34">
        <f>E34-E34</f>
        <v>0</v>
      </c>
      <c r="I34">
        <v>12.52629864</v>
      </c>
      <c r="J34">
        <v>5.1739207599999997</v>
      </c>
      <c r="K34">
        <v>6.23554487</v>
      </c>
    </row>
    <row r="35" spans="1:11" x14ac:dyDescent="0.3">
      <c r="B35" t="s">
        <v>25</v>
      </c>
      <c r="C35">
        <v>-0.96805693000000004</v>
      </c>
      <c r="D35">
        <v>-0.43797482999999998</v>
      </c>
      <c r="E35">
        <v>2.2518699999999999E-2</v>
      </c>
      <c r="F35">
        <f>C35-C34</f>
        <v>-1.1159817599999999</v>
      </c>
      <c r="G35">
        <f>D35-D34</f>
        <v>-0.71272256</v>
      </c>
      <c r="H35">
        <f>E35-E34</f>
        <v>1.955206E-2</v>
      </c>
      <c r="I35">
        <f>F33+F35</f>
        <v>11.41031688</v>
      </c>
      <c r="J35">
        <f>G33+G35</f>
        <v>4.4611982000000001</v>
      </c>
      <c r="K35">
        <f>H33+H35</f>
        <v>6.2550969299999997</v>
      </c>
    </row>
    <row r="36" spans="1:11" x14ac:dyDescent="0.3">
      <c r="B36" t="s">
        <v>26</v>
      </c>
      <c r="C36">
        <v>1.06402562</v>
      </c>
      <c r="D36">
        <v>-0.68138918000000004</v>
      </c>
      <c r="E36">
        <v>-1.5266790000000001E-2</v>
      </c>
      <c r="F36">
        <f>C36-C34</f>
        <v>0.91610079</v>
      </c>
      <c r="G36">
        <f>D36-D34</f>
        <v>-0.95613691000000012</v>
      </c>
      <c r="H36">
        <f>E36-E35</f>
        <v>-3.7785489999999998E-2</v>
      </c>
      <c r="I36">
        <f>F33+F36</f>
        <v>13.44239943</v>
      </c>
      <c r="J36">
        <f>G33+G36</f>
        <v>4.21778385</v>
      </c>
      <c r="K36">
        <f>H33+H36</f>
        <v>6.1977593799999999</v>
      </c>
    </row>
    <row r="37" spans="1:11" x14ac:dyDescent="0.3">
      <c r="B37" t="s">
        <v>27</v>
      </c>
      <c r="C37">
        <v>0.2504286</v>
      </c>
      <c r="D37">
        <v>1.0021393199999999</v>
      </c>
      <c r="E37">
        <v>0.82975379999999999</v>
      </c>
      <c r="F37">
        <f>C37-C34</f>
        <v>0.10250376999999999</v>
      </c>
      <c r="G37">
        <f>D37-D34</f>
        <v>0.72739158999999987</v>
      </c>
      <c r="H37">
        <f>E37-E34</f>
        <v>0.82678715999999997</v>
      </c>
      <c r="I37">
        <f>F33+F37</f>
        <v>12.62880241</v>
      </c>
      <c r="J37">
        <f>G33+G37</f>
        <v>5.9013123499999995</v>
      </c>
      <c r="K37">
        <f>H33+H37</f>
        <v>7.0623320300000003</v>
      </c>
    </row>
    <row r="40" spans="1:11" x14ac:dyDescent="0.3">
      <c r="A40" t="s">
        <v>28</v>
      </c>
      <c r="F40">
        <v>12.52629864</v>
      </c>
      <c r="G40">
        <v>5.1739207599999997</v>
      </c>
      <c r="H40">
        <v>6.23554487</v>
      </c>
    </row>
    <row r="41" spans="1:11" x14ac:dyDescent="0.3">
      <c r="B41" t="s">
        <v>11</v>
      </c>
      <c r="C41">
        <v>-0.44766465</v>
      </c>
      <c r="D41">
        <v>5.0531590000000001E-2</v>
      </c>
      <c r="E41">
        <v>2.6194769999999999E-2</v>
      </c>
      <c r="F41">
        <f>C41-C41</f>
        <v>0</v>
      </c>
      <c r="G41">
        <f>D41-D41</f>
        <v>0</v>
      </c>
      <c r="H41">
        <f>E41-E41</f>
        <v>0</v>
      </c>
      <c r="I41">
        <v>12.52629864</v>
      </c>
      <c r="J41">
        <v>5.1739207599999997</v>
      </c>
      <c r="K41">
        <v>6.23554487</v>
      </c>
    </row>
    <row r="42" spans="1:11" x14ac:dyDescent="0.3">
      <c r="B42" t="s">
        <v>20</v>
      </c>
      <c r="C42">
        <v>0.97206587</v>
      </c>
      <c r="D42">
        <v>7.4880520000000006E-2</v>
      </c>
      <c r="E42">
        <v>3.9358259999999999E-2</v>
      </c>
      <c r="F42">
        <f>C42-C41</f>
        <v>1.4197305199999999</v>
      </c>
      <c r="G42">
        <f>D42-D41</f>
        <v>2.4348930000000005E-2</v>
      </c>
      <c r="H42">
        <f>E42-E41</f>
        <v>1.316349E-2</v>
      </c>
      <c r="I42">
        <f>F40+F42</f>
        <v>13.94602916</v>
      </c>
      <c r="J42">
        <f>G40+G42</f>
        <v>5.1982696900000001</v>
      </c>
      <c r="K42">
        <f>H40+H42</f>
        <v>6.2487083600000002</v>
      </c>
    </row>
    <row r="43" spans="1:11" x14ac:dyDescent="0.3">
      <c r="B43" t="s">
        <v>18</v>
      </c>
    </row>
    <row r="46" spans="1:11" x14ac:dyDescent="0.3">
      <c r="A46" t="s">
        <v>29</v>
      </c>
      <c r="F46">
        <v>12.52629864</v>
      </c>
      <c r="G46">
        <v>5.1739207599999997</v>
      </c>
      <c r="H46">
        <v>6.23554487</v>
      </c>
    </row>
    <row r="47" spans="1:11" x14ac:dyDescent="0.3">
      <c r="B47" t="s">
        <v>11</v>
      </c>
      <c r="C47">
        <v>-1.8111461</v>
      </c>
      <c r="D47">
        <v>1.50033379</v>
      </c>
      <c r="E47">
        <v>6.1355079999999999E-2</v>
      </c>
      <c r="F47">
        <f>C47-C47</f>
        <v>0</v>
      </c>
      <c r="G47">
        <f>D47-D47</f>
        <v>0</v>
      </c>
      <c r="H47">
        <f>E47-E47</f>
        <v>0</v>
      </c>
      <c r="I47">
        <v>12.52629864</v>
      </c>
      <c r="J47">
        <v>5.1739207599999997</v>
      </c>
      <c r="K47">
        <v>6.23554487</v>
      </c>
    </row>
    <row r="48" spans="1:11" x14ac:dyDescent="0.3">
      <c r="B48" t="s">
        <v>16</v>
      </c>
      <c r="C48">
        <v>-2.7970372700000001</v>
      </c>
      <c r="D48">
        <v>0.56493139999999997</v>
      </c>
      <c r="E48">
        <v>-0.17831179</v>
      </c>
      <c r="F48">
        <f>C48-C47</f>
        <v>-0.98589117000000015</v>
      </c>
      <c r="G48">
        <f>D48-D47</f>
        <v>-0.93540239000000003</v>
      </c>
      <c r="H48">
        <f>E48-E47</f>
        <v>-0.23966687</v>
      </c>
      <c r="I48">
        <f>F46+F48</f>
        <v>11.54040747</v>
      </c>
      <c r="J48">
        <f>G46+G48</f>
        <v>4.2385183699999995</v>
      </c>
      <c r="K48">
        <f>H46+H48</f>
        <v>5.9958780000000003</v>
      </c>
    </row>
    <row r="49" spans="1:11" x14ac:dyDescent="0.3">
      <c r="B49" t="s">
        <v>18</v>
      </c>
      <c r="C49">
        <v>-0.91352082999999995</v>
      </c>
      <c r="D49">
        <v>1.2462860499999999</v>
      </c>
      <c r="E49">
        <v>-0.52339314000000003</v>
      </c>
      <c r="F49">
        <f>C49-C47</f>
        <v>0.89762527000000003</v>
      </c>
      <c r="G49">
        <f>D49-D47</f>
        <v>-0.25404774000000008</v>
      </c>
      <c r="H49">
        <f>E49-E47</f>
        <v>-0.58474822000000004</v>
      </c>
      <c r="I49">
        <f>F46+F49</f>
        <v>13.423923910000001</v>
      </c>
      <c r="J49">
        <f>G46+G49</f>
        <v>4.9198730199999998</v>
      </c>
      <c r="K49">
        <f>H46+H49</f>
        <v>5.6507966500000002</v>
      </c>
    </row>
    <row r="52" spans="1:11" x14ac:dyDescent="0.3">
      <c r="A52" t="s">
        <v>30</v>
      </c>
      <c r="F52">
        <v>12.52629864</v>
      </c>
      <c r="G52">
        <v>5.1739207599999997</v>
      </c>
      <c r="H52">
        <v>6.23554487</v>
      </c>
    </row>
    <row r="53" spans="1:11" x14ac:dyDescent="0.3">
      <c r="B53" t="s">
        <v>11</v>
      </c>
      <c r="C53">
        <v>-0.47115055</v>
      </c>
      <c r="D53">
        <v>1.4347253200000001</v>
      </c>
      <c r="E53">
        <v>0.52995504000000004</v>
      </c>
      <c r="F53">
        <f>C53-C53</f>
        <v>0</v>
      </c>
      <c r="G53">
        <f>D53-D53</f>
        <v>0</v>
      </c>
      <c r="H53">
        <f>E53-E53</f>
        <v>0</v>
      </c>
      <c r="I53">
        <v>12.52629864</v>
      </c>
      <c r="J53">
        <v>5.1739207599999997</v>
      </c>
      <c r="K53">
        <v>6.23554487</v>
      </c>
    </row>
    <row r="54" spans="1:11" x14ac:dyDescent="0.3">
      <c r="B54" t="s">
        <v>25</v>
      </c>
      <c r="C54">
        <v>-1.53893364</v>
      </c>
      <c r="D54">
        <v>0.90365680000000004</v>
      </c>
      <c r="E54">
        <v>-0.22150623</v>
      </c>
      <c r="F54">
        <f>C54-C53</f>
        <v>-1.06778309</v>
      </c>
      <c r="G54">
        <f>D54-D53</f>
        <v>-0.53106852000000004</v>
      </c>
      <c r="H54">
        <f>E54-E53</f>
        <v>-0.75146127000000007</v>
      </c>
      <c r="I54">
        <f>F52+F54</f>
        <v>11.45851555</v>
      </c>
      <c r="J54">
        <f>G52+G54</f>
        <v>4.6428522399999999</v>
      </c>
      <c r="K54">
        <f>H52+H54</f>
        <v>5.4840835999999999</v>
      </c>
    </row>
    <row r="55" spans="1:11" x14ac:dyDescent="0.3">
      <c r="B55" t="s">
        <v>26</v>
      </c>
      <c r="C55">
        <v>0.68147303000000004</v>
      </c>
      <c r="D55">
        <v>0.80930919999999995</v>
      </c>
      <c r="E55">
        <v>1.303911E-2</v>
      </c>
      <c r="F55">
        <f>C55-C53</f>
        <v>1.15262358</v>
      </c>
      <c r="G55">
        <f>D55-D53</f>
        <v>-0.62541612000000013</v>
      </c>
      <c r="H55">
        <f>E55-E53</f>
        <v>-0.51691593000000002</v>
      </c>
      <c r="I55">
        <f>F52+F55</f>
        <v>13.67892222</v>
      </c>
      <c r="J55">
        <f>G52+G55</f>
        <v>4.5485046399999991</v>
      </c>
      <c r="K55">
        <f>H52+H55</f>
        <v>5.7186289400000003</v>
      </c>
    </row>
    <row r="56" spans="1:11" x14ac:dyDescent="0.3">
      <c r="B56" t="s">
        <v>31</v>
      </c>
      <c r="C56">
        <v>-0.40848247999999998</v>
      </c>
      <c r="D56">
        <v>2.52522365</v>
      </c>
      <c r="E56">
        <v>0.37534652000000002</v>
      </c>
      <c r="F56">
        <f>C56-C53</f>
        <v>6.266807000000002E-2</v>
      </c>
      <c r="G56">
        <f>D56-D53</f>
        <v>1.09049833</v>
      </c>
      <c r="H56">
        <f>E56-E53</f>
        <v>-0.15460852000000003</v>
      </c>
      <c r="I56">
        <f>F52+F56</f>
        <v>12.588966710000001</v>
      </c>
      <c r="J56">
        <f>G52+G56</f>
        <v>6.2644190899999996</v>
      </c>
      <c r="K56">
        <f>H52+H56</f>
        <v>6.08093635</v>
      </c>
    </row>
    <row r="57" spans="1:11" x14ac:dyDescent="0.3">
      <c r="B57" t="s">
        <v>32</v>
      </c>
    </row>
    <row r="58" spans="1:11" x14ac:dyDescent="0.3">
      <c r="B58" t="s">
        <v>33</v>
      </c>
    </row>
    <row r="61" spans="1:11" x14ac:dyDescent="0.3">
      <c r="A61" t="s">
        <v>34</v>
      </c>
      <c r="F61">
        <v>12.52629864</v>
      </c>
      <c r="G61">
        <v>5.1739207599999997</v>
      </c>
      <c r="H61">
        <v>6.23554487</v>
      </c>
    </row>
    <row r="62" spans="1:11" x14ac:dyDescent="0.3">
      <c r="B62" t="s">
        <v>35</v>
      </c>
      <c r="C62">
        <v>-0.31076883</v>
      </c>
      <c r="D62">
        <v>-0.45213639</v>
      </c>
      <c r="E62">
        <v>0.98723267999999997</v>
      </c>
      <c r="F62">
        <f>C62-C62</f>
        <v>0</v>
      </c>
      <c r="G62">
        <f>D62-D62</f>
        <v>0</v>
      </c>
      <c r="H62">
        <f>E62-E62</f>
        <v>0</v>
      </c>
      <c r="I62">
        <v>12.52629864</v>
      </c>
      <c r="J62">
        <v>5.1739207599999997</v>
      </c>
      <c r="K62">
        <v>6.23554487</v>
      </c>
    </row>
    <row r="63" spans="1:11" x14ac:dyDescent="0.3">
      <c r="B63" t="s">
        <v>11</v>
      </c>
      <c r="C63">
        <v>-0.91299719999999995</v>
      </c>
      <c r="D63">
        <v>0.22970061</v>
      </c>
      <c r="E63">
        <v>3.3634629999999999E-2</v>
      </c>
      <c r="F63">
        <f>C63-C62</f>
        <v>-0.60222836999999996</v>
      </c>
      <c r="G63">
        <f>D63-D62</f>
        <v>0.68183700000000003</v>
      </c>
      <c r="H63">
        <f>E63-E62</f>
        <v>-0.95359804999999997</v>
      </c>
      <c r="I63">
        <f>F61+F63</f>
        <v>11.92407027</v>
      </c>
      <c r="J63">
        <f>G61+G63</f>
        <v>5.8557577599999995</v>
      </c>
      <c r="K63">
        <f>H61+H63</f>
        <v>5.2819468199999999</v>
      </c>
    </row>
    <row r="64" spans="1:11" x14ac:dyDescent="0.3">
      <c r="B64" t="s">
        <v>36</v>
      </c>
      <c r="C64">
        <v>-1.50186175</v>
      </c>
      <c r="D64">
        <v>-0.99223097999999998</v>
      </c>
      <c r="E64">
        <v>-0.26511604999999999</v>
      </c>
      <c r="F64">
        <f>C64-C62</f>
        <v>-1.19109292</v>
      </c>
      <c r="G64">
        <f>D64-D62</f>
        <v>-0.54009459000000004</v>
      </c>
      <c r="H64">
        <f>E64-E62</f>
        <v>-1.25234873</v>
      </c>
      <c r="I64">
        <f>F61+F64</f>
        <v>11.335205720000001</v>
      </c>
      <c r="J64">
        <f>G61+G64</f>
        <v>4.6338261699999999</v>
      </c>
      <c r="K64">
        <f>H61+H64</f>
        <v>4.9831961400000004</v>
      </c>
    </row>
    <row r="65" spans="1:11" x14ac:dyDescent="0.3">
      <c r="B65" t="s">
        <v>37</v>
      </c>
      <c r="C65">
        <v>-0.37501533999999997</v>
      </c>
      <c r="D65">
        <v>0.60504771999999996</v>
      </c>
      <c r="E65">
        <v>-0.85354118000000001</v>
      </c>
      <c r="F65">
        <f>C65-C62</f>
        <v>-6.4246509999999979E-2</v>
      </c>
      <c r="G65">
        <f>D65-D62</f>
        <v>1.0571841099999999</v>
      </c>
      <c r="H65">
        <f>E65-E62</f>
        <v>-1.8407738600000001</v>
      </c>
      <c r="I65">
        <f>F61+F65</f>
        <v>12.46205213</v>
      </c>
      <c r="J65">
        <f>G61+G65</f>
        <v>6.2311048699999994</v>
      </c>
      <c r="K65">
        <f>H61+H65</f>
        <v>4.3947710099999995</v>
      </c>
    </row>
    <row r="66" spans="1:11" x14ac:dyDescent="0.3">
      <c r="B66" t="s">
        <v>38</v>
      </c>
    </row>
    <row r="67" spans="1:11" x14ac:dyDescent="0.3">
      <c r="B67" t="s">
        <v>39</v>
      </c>
    </row>
    <row r="70" spans="1:11" x14ac:dyDescent="0.3">
      <c r="A70" t="s">
        <v>40</v>
      </c>
      <c r="F70">
        <v>12.52629864</v>
      </c>
      <c r="G70">
        <v>5.1739207599999997</v>
      </c>
      <c r="H70">
        <v>6.23554487</v>
      </c>
    </row>
    <row r="71" spans="1:11" x14ac:dyDescent="0.3">
      <c r="B71" t="s">
        <v>20</v>
      </c>
      <c r="C71">
        <v>-0.50704992999999998</v>
      </c>
      <c r="D71">
        <v>-0.46579043999999997</v>
      </c>
      <c r="E71">
        <v>1.1476000000000001E-4</v>
      </c>
      <c r="F71">
        <f>C71-C71</f>
        <v>0</v>
      </c>
      <c r="G71">
        <f>D71-D71</f>
        <v>0</v>
      </c>
      <c r="H71">
        <f>E71-E71</f>
        <v>0</v>
      </c>
      <c r="I71">
        <v>0.56061402999999999</v>
      </c>
      <c r="J71">
        <v>15.60862386</v>
      </c>
      <c r="K71">
        <v>13.733131849999999</v>
      </c>
    </row>
    <row r="72" spans="1:11" x14ac:dyDescent="0.3">
      <c r="B72" t="s">
        <v>11</v>
      </c>
      <c r="C72">
        <v>-0.50554920000000003</v>
      </c>
      <c r="D72">
        <v>0.85850884000000005</v>
      </c>
      <c r="E72">
        <v>3.0199999999999999E-6</v>
      </c>
      <c r="F72">
        <f>C72-C71</f>
        <v>1.5007299999999502E-3</v>
      </c>
      <c r="G72">
        <f>D72-D71</f>
        <v>1.32429928</v>
      </c>
      <c r="H72">
        <f>E72-E71</f>
        <v>-1.1174000000000001E-4</v>
      </c>
      <c r="I72">
        <f>F70+F72</f>
        <v>12.52779937</v>
      </c>
      <c r="J72">
        <f>G70+G72</f>
        <v>6.4982200399999996</v>
      </c>
      <c r="K72">
        <f>H70+H72</f>
        <v>6.2354331299999997</v>
      </c>
    </row>
    <row r="73" spans="1:11" x14ac:dyDescent="0.3">
      <c r="B73" t="s">
        <v>27</v>
      </c>
      <c r="C73">
        <v>-1.45804877</v>
      </c>
      <c r="D73">
        <v>1.3622350000000001</v>
      </c>
      <c r="E73">
        <v>0.25438207000000002</v>
      </c>
      <c r="F73">
        <f>C73-C71</f>
        <v>-0.95099884000000001</v>
      </c>
      <c r="G73">
        <f>D73-D71</f>
        <v>1.82802544</v>
      </c>
      <c r="H73">
        <f>E73-E71</f>
        <v>0.25426731000000002</v>
      </c>
      <c r="I73">
        <f>F70+F73</f>
        <v>11.5752998</v>
      </c>
      <c r="J73">
        <f>G70+G73</f>
        <v>7.0019461999999999</v>
      </c>
      <c r="K73">
        <f>H70+H73</f>
        <v>6.4898121800000004</v>
      </c>
    </row>
    <row r="74" spans="1:11" x14ac:dyDescent="0.3">
      <c r="B74" t="s">
        <v>32</v>
      </c>
      <c r="C74">
        <v>0.19188848999999999</v>
      </c>
      <c r="D74">
        <v>1.3604042999999999</v>
      </c>
      <c r="E74">
        <v>0.69813365999999999</v>
      </c>
      <c r="F74">
        <f>C74-C71</f>
        <v>0.69893841999999995</v>
      </c>
      <c r="G74">
        <f>D74-D71</f>
        <v>1.8261947399999998</v>
      </c>
      <c r="H74">
        <f>E74-E71</f>
        <v>0.6980189</v>
      </c>
      <c r="I74">
        <f>F70+F74</f>
        <v>13.22523706</v>
      </c>
      <c r="J74">
        <f>G70+G74</f>
        <v>7.0001154999999997</v>
      </c>
      <c r="K74">
        <f>H70+H74</f>
        <v>6.9335637700000001</v>
      </c>
    </row>
    <row r="75" spans="1:11" x14ac:dyDescent="0.3">
      <c r="B75" t="s">
        <v>33</v>
      </c>
    </row>
    <row r="78" spans="1:11" x14ac:dyDescent="0.3">
      <c r="A78" t="s">
        <v>41</v>
      </c>
      <c r="B78" t="s">
        <v>11</v>
      </c>
    </row>
    <row r="81" spans="1:11" x14ac:dyDescent="0.3">
      <c r="A81" t="s">
        <v>42</v>
      </c>
      <c r="F81">
        <v>12.52629864</v>
      </c>
      <c r="G81">
        <v>5.1739207599999997</v>
      </c>
      <c r="H81">
        <v>6.23554487</v>
      </c>
    </row>
    <row r="82" spans="1:11" x14ac:dyDescent="0.3">
      <c r="B82" t="s">
        <v>11</v>
      </c>
      <c r="C82">
        <v>-1.4265140599999999</v>
      </c>
      <c r="D82">
        <v>-0.44185875000000002</v>
      </c>
      <c r="E82">
        <v>-6.4099329999999996E-2</v>
      </c>
      <c r="F82">
        <f>C82-C82</f>
        <v>0</v>
      </c>
      <c r="G82">
        <f>D82-D82</f>
        <v>0</v>
      </c>
      <c r="H82">
        <f>E82-E82</f>
        <v>0</v>
      </c>
      <c r="I82">
        <v>0.56061402999999999</v>
      </c>
      <c r="J82">
        <v>15.60862386</v>
      </c>
      <c r="K82">
        <v>13.733131849999999</v>
      </c>
    </row>
    <row r="83" spans="1:11" x14ac:dyDescent="0.3">
      <c r="B83" t="s">
        <v>20</v>
      </c>
      <c r="C83">
        <v>-3.1695109999999999E-2</v>
      </c>
      <c r="D83">
        <v>-0.19729811</v>
      </c>
      <c r="E83">
        <v>5.9250129999999998E-2</v>
      </c>
      <c r="F83">
        <f>C83-C82</f>
        <v>1.3948189499999999</v>
      </c>
      <c r="G83">
        <f>D83-D82</f>
        <v>0.24456064000000002</v>
      </c>
      <c r="H83">
        <f>E83-E82</f>
        <v>0.12334945999999999</v>
      </c>
      <c r="I83">
        <f>F81+F83</f>
        <v>13.92111759</v>
      </c>
      <c r="J83">
        <f>G81+G83</f>
        <v>5.4184814000000001</v>
      </c>
      <c r="K83">
        <f>H81+H83</f>
        <v>6.35889433</v>
      </c>
    </row>
    <row r="84" spans="1:11" x14ac:dyDescent="0.3">
      <c r="B84" t="s">
        <v>43</v>
      </c>
      <c r="C84">
        <v>-1.97208329</v>
      </c>
      <c r="D84">
        <v>0.51313516999999997</v>
      </c>
      <c r="E84">
        <v>-0.13409711999999999</v>
      </c>
      <c r="F84">
        <f>C84-C82</f>
        <v>-0.54556923000000013</v>
      </c>
      <c r="G84">
        <f>D84-D82</f>
        <v>0.95499391999999994</v>
      </c>
      <c r="H84">
        <f>E84-E82</f>
        <v>-6.999778999999999E-2</v>
      </c>
      <c r="I84">
        <f>F81+F84</f>
        <v>11.98072941</v>
      </c>
      <c r="J84">
        <f>G81+G84</f>
        <v>6.1289146799999994</v>
      </c>
      <c r="K84">
        <f>H81+H84</f>
        <v>6.1655470799999996</v>
      </c>
    </row>
    <row r="85" spans="1:11" x14ac:dyDescent="0.3">
      <c r="B85" t="s">
        <v>44</v>
      </c>
    </row>
    <row r="88" spans="1:11" x14ac:dyDescent="0.3">
      <c r="A88" t="s">
        <v>45</v>
      </c>
      <c r="F88">
        <v>12.52629864</v>
      </c>
      <c r="G88">
        <v>5.1739207599999997</v>
      </c>
      <c r="H88">
        <v>6.23554487</v>
      </c>
    </row>
    <row r="89" spans="1:11" x14ac:dyDescent="0.3">
      <c r="B89" t="s">
        <v>11</v>
      </c>
      <c r="C89">
        <v>-0.95587138000000005</v>
      </c>
      <c r="D89">
        <v>0.47376512999999998</v>
      </c>
      <c r="E89">
        <v>-1.5849930000000002E-2</v>
      </c>
      <c r="F89">
        <f>C89-C89</f>
        <v>0</v>
      </c>
      <c r="G89">
        <f>D89-D89</f>
        <v>0</v>
      </c>
      <c r="H89">
        <f>E89-E89</f>
        <v>0</v>
      </c>
      <c r="I89">
        <v>0.56061402999999999</v>
      </c>
      <c r="J89">
        <v>15.60862386</v>
      </c>
      <c r="K89">
        <v>13.733131849999999</v>
      </c>
    </row>
    <row r="90" spans="1:11" x14ac:dyDescent="0.3">
      <c r="B90" t="s">
        <v>20</v>
      </c>
      <c r="C90">
        <v>-2.2334422699999998</v>
      </c>
      <c r="D90">
        <v>-0.14735583999999999</v>
      </c>
      <c r="E90">
        <v>1.1169800000000001E-2</v>
      </c>
      <c r="F90">
        <f>C90-C89</f>
        <v>-1.2775708899999998</v>
      </c>
      <c r="G90">
        <f>D90-D89</f>
        <v>-0.62112096999999999</v>
      </c>
      <c r="H90">
        <f>E90-E89</f>
        <v>2.7019730000000002E-2</v>
      </c>
      <c r="I90">
        <f>F88+F90</f>
        <v>11.24872775</v>
      </c>
      <c r="J90">
        <f>G88+G90</f>
        <v>4.5527997899999999</v>
      </c>
      <c r="K90">
        <f>H88+H90</f>
        <v>6.2625646000000001</v>
      </c>
    </row>
    <row r="91" spans="1:11" x14ac:dyDescent="0.3">
      <c r="B91" t="s">
        <v>46</v>
      </c>
      <c r="C91">
        <v>-0.16780487999999999</v>
      </c>
      <c r="D91">
        <v>-0.29371206</v>
      </c>
      <c r="E91">
        <v>5.2135580000000001E-2</v>
      </c>
      <c r="F91">
        <f>C91-C89</f>
        <v>0.7880665</v>
      </c>
      <c r="G91">
        <f>D91-D89</f>
        <v>-0.76747718999999992</v>
      </c>
      <c r="H91">
        <f>E91-E89</f>
        <v>6.7985509999999999E-2</v>
      </c>
      <c r="I91">
        <f>F88+F91</f>
        <v>13.31436514</v>
      </c>
      <c r="J91">
        <f>G88+G91</f>
        <v>4.4064435699999995</v>
      </c>
      <c r="K91">
        <f>H88+H91</f>
        <v>6.3035303799999998</v>
      </c>
    </row>
    <row r="92" spans="1:11" x14ac:dyDescent="0.3">
      <c r="B92" t="s">
        <v>47</v>
      </c>
    </row>
    <row r="95" spans="1:11" x14ac:dyDescent="0.3">
      <c r="A95" t="s">
        <v>48</v>
      </c>
      <c r="F95">
        <v>12.52629864</v>
      </c>
      <c r="G95">
        <v>5.1739207599999997</v>
      </c>
      <c r="H95">
        <v>6.23554487</v>
      </c>
    </row>
    <row r="96" spans="1:11" x14ac:dyDescent="0.3">
      <c r="B96" t="s">
        <v>11</v>
      </c>
      <c r="C96">
        <v>-0.99403218000000004</v>
      </c>
      <c r="D96">
        <v>0.97909173000000005</v>
      </c>
      <c r="E96">
        <v>7.2699999999999999E-6</v>
      </c>
      <c r="F96">
        <f>C96-C96</f>
        <v>0</v>
      </c>
      <c r="G96">
        <f>D96-D96</f>
        <v>0</v>
      </c>
      <c r="H96">
        <f>E96-E96</f>
        <v>0</v>
      </c>
      <c r="I96">
        <v>12.52629864</v>
      </c>
      <c r="J96">
        <v>5.1739207599999997</v>
      </c>
      <c r="K96">
        <v>6.23554487</v>
      </c>
    </row>
    <row r="97" spans="1:11" x14ac:dyDescent="0.3">
      <c r="B97" t="s">
        <v>20</v>
      </c>
      <c r="C97">
        <v>-0.80287335000000004</v>
      </c>
      <c r="D97">
        <v>2.1730210900000002</v>
      </c>
      <c r="E97">
        <v>-1.3040199999999999E-3</v>
      </c>
      <c r="F97">
        <f>C97-C96</f>
        <v>0.19115883</v>
      </c>
      <c r="G97">
        <f>D97-D96</f>
        <v>1.1939293600000003</v>
      </c>
      <c r="H97">
        <f>E97-E96</f>
        <v>-1.3112899999999999E-3</v>
      </c>
      <c r="I97">
        <f>F95+F97</f>
        <v>12.717457469999999</v>
      </c>
      <c r="J97">
        <f>G95+G97</f>
        <v>6.3678501199999999</v>
      </c>
      <c r="K97">
        <f>H95+H97</f>
        <v>6.2342335799999997</v>
      </c>
    </row>
    <row r="98" spans="1:11" x14ac:dyDescent="0.3">
      <c r="B98" t="s">
        <v>27</v>
      </c>
    </row>
    <row r="99" spans="1:11" x14ac:dyDescent="0.3">
      <c r="B99" t="s">
        <v>32</v>
      </c>
    </row>
    <row r="102" spans="1:11" x14ac:dyDescent="0.3">
      <c r="A102" t="s">
        <v>49</v>
      </c>
      <c r="F102">
        <v>12.52629864</v>
      </c>
      <c r="G102">
        <v>5.1739207599999997</v>
      </c>
      <c r="H102">
        <v>6.23554487</v>
      </c>
    </row>
    <row r="103" spans="1:11" x14ac:dyDescent="0.3">
      <c r="B103" t="s">
        <v>11</v>
      </c>
      <c r="C103">
        <v>0.47258625999999998</v>
      </c>
      <c r="D103">
        <v>0.55145111000000002</v>
      </c>
      <c r="E103">
        <v>-6.2205589999999998E-2</v>
      </c>
      <c r="F103">
        <f>C103-C103</f>
        <v>0</v>
      </c>
      <c r="G103">
        <f>D103-D103</f>
        <v>0</v>
      </c>
      <c r="H103">
        <f>E103-E103</f>
        <v>0</v>
      </c>
      <c r="I103">
        <v>12.52629864</v>
      </c>
      <c r="J103">
        <v>5.1739207599999997</v>
      </c>
      <c r="K103">
        <v>6.23554487</v>
      </c>
    </row>
    <row r="104" spans="1:11" x14ac:dyDescent="0.3">
      <c r="B104" t="s">
        <v>20</v>
      </c>
      <c r="C104">
        <v>0.59187577000000002</v>
      </c>
      <c r="D104">
        <v>1.8609792700000001</v>
      </c>
      <c r="E104">
        <v>0.46380832</v>
      </c>
      <c r="F104">
        <f>C104-C103</f>
        <v>0.11928951000000004</v>
      </c>
      <c r="G104">
        <f>D104-D103</f>
        <v>1.3095281600000002</v>
      </c>
      <c r="H104">
        <f>E104-E103</f>
        <v>0.52601390999999997</v>
      </c>
      <c r="I104">
        <f>F102+F104</f>
        <v>12.64558815</v>
      </c>
      <c r="J104">
        <f>G102+G104</f>
        <v>6.4834489199999998</v>
      </c>
      <c r="K104">
        <f>H102+H104</f>
        <v>6.7615587799999997</v>
      </c>
    </row>
    <row r="105" spans="1:11" x14ac:dyDescent="0.3">
      <c r="B105" t="s">
        <v>27</v>
      </c>
    </row>
    <row r="106" spans="1:11" x14ac:dyDescent="0.3">
      <c r="B106" t="s">
        <v>32</v>
      </c>
    </row>
    <row r="107" spans="1:11" x14ac:dyDescent="0.3">
      <c r="B107" t="s">
        <v>33</v>
      </c>
    </row>
    <row r="108" spans="1:11" x14ac:dyDescent="0.3">
      <c r="B108" t="s">
        <v>50</v>
      </c>
    </row>
    <row r="111" spans="1:11" x14ac:dyDescent="0.3">
      <c r="A111" t="s">
        <v>51</v>
      </c>
    </row>
    <row r="114" spans="1:11" x14ac:dyDescent="0.3">
      <c r="A114" t="s">
        <v>52</v>
      </c>
      <c r="F114">
        <v>12.52629864</v>
      </c>
      <c r="G114">
        <v>5.1739207599999997</v>
      </c>
      <c r="H114">
        <v>6.23554487</v>
      </c>
    </row>
    <row r="115" spans="1:11" x14ac:dyDescent="0.3">
      <c r="B115" t="s">
        <v>11</v>
      </c>
      <c r="C115">
        <v>-0.27854305000000001</v>
      </c>
      <c r="D115">
        <v>2.6298745000000001</v>
      </c>
      <c r="E115">
        <v>0</v>
      </c>
      <c r="F115">
        <f>C115-C115</f>
        <v>0</v>
      </c>
      <c r="G115">
        <f>D115-D115</f>
        <v>0</v>
      </c>
      <c r="H115">
        <f>E115-E115</f>
        <v>0</v>
      </c>
      <c r="I115">
        <v>12.52629864</v>
      </c>
      <c r="J115">
        <v>5.1739207599999997</v>
      </c>
      <c r="K115">
        <v>6.23554487</v>
      </c>
    </row>
    <row r="116" spans="1:11" x14ac:dyDescent="0.3">
      <c r="B116" t="s">
        <v>18</v>
      </c>
      <c r="C116">
        <v>0.82194188000000001</v>
      </c>
      <c r="D116">
        <v>2.5961861900000001</v>
      </c>
      <c r="E116">
        <v>0</v>
      </c>
      <c r="F116">
        <f>C116-C115</f>
        <v>1.1004849299999999</v>
      </c>
      <c r="G116">
        <f>D116-D115</f>
        <v>-3.3688310000000055E-2</v>
      </c>
      <c r="H116">
        <f>E116-E115</f>
        <v>0</v>
      </c>
      <c r="I116">
        <f>F114+F116</f>
        <v>13.626783570000001</v>
      </c>
      <c r="J116">
        <f>G114+G116</f>
        <v>5.1402324499999992</v>
      </c>
      <c r="K116">
        <f>H114+H116</f>
        <v>6.23554487</v>
      </c>
    </row>
    <row r="119" spans="1:11" x14ac:dyDescent="0.3">
      <c r="A119" t="s">
        <v>53</v>
      </c>
      <c r="F119">
        <v>12.52629864</v>
      </c>
      <c r="G119">
        <v>5.1739207599999997</v>
      </c>
      <c r="H119">
        <v>6.23554487</v>
      </c>
    </row>
    <row r="120" spans="1:11" x14ac:dyDescent="0.3">
      <c r="B120" t="s">
        <v>11</v>
      </c>
      <c r="C120">
        <v>-0.34059321999999997</v>
      </c>
      <c r="D120">
        <v>1.36444327</v>
      </c>
      <c r="E120">
        <v>0.55956890999999997</v>
      </c>
      <c r="F120">
        <f>C120-C120</f>
        <v>0</v>
      </c>
      <c r="G120">
        <f>D120-D120</f>
        <v>0</v>
      </c>
      <c r="H120">
        <f>E120-E120</f>
        <v>0</v>
      </c>
      <c r="I120">
        <v>12.52629864</v>
      </c>
      <c r="J120">
        <v>5.1739207599999997</v>
      </c>
      <c r="K120">
        <v>6.23554487</v>
      </c>
    </row>
    <row r="121" spans="1:11" x14ac:dyDescent="0.3">
      <c r="B121" t="s">
        <v>20</v>
      </c>
      <c r="C121">
        <v>-0.77095634000000002</v>
      </c>
      <c r="D121">
        <v>2.5954849800000002</v>
      </c>
      <c r="E121">
        <v>-8.1271199999999998E-3</v>
      </c>
      <c r="F121">
        <f>C121-C120</f>
        <v>-0.43036312000000004</v>
      </c>
      <c r="G121">
        <f>D121-D120</f>
        <v>1.2310417100000002</v>
      </c>
      <c r="H121">
        <f>E121-E120</f>
        <v>-0.56769603000000002</v>
      </c>
      <c r="I121">
        <f>F119+F121</f>
        <v>12.095935519999999</v>
      </c>
      <c r="J121">
        <f>G119+G121</f>
        <v>6.4049624700000001</v>
      </c>
      <c r="K121">
        <f>H119+H121</f>
        <v>5.6678488399999996</v>
      </c>
    </row>
    <row r="122" spans="1:11" x14ac:dyDescent="0.3">
      <c r="B122" t="s">
        <v>54</v>
      </c>
      <c r="C122">
        <v>0.19005489</v>
      </c>
      <c r="D122">
        <v>0.76590077000000001</v>
      </c>
      <c r="E122">
        <v>-0.19851901</v>
      </c>
      <c r="F122">
        <f>C122-C120</f>
        <v>0.53064811000000001</v>
      </c>
      <c r="G122">
        <f>D122-D120</f>
        <v>-0.59854249999999998</v>
      </c>
      <c r="H122">
        <f>E122-E120</f>
        <v>-0.75808791999999992</v>
      </c>
      <c r="I122">
        <f>F119+F122</f>
        <v>13.05694675</v>
      </c>
      <c r="J122">
        <f>G119+G122</f>
        <v>4.5753782599999999</v>
      </c>
      <c r="K122">
        <f>H119+H122</f>
        <v>5.4774569500000005</v>
      </c>
    </row>
    <row r="123" spans="1:11" x14ac:dyDescent="0.3">
      <c r="B123" t="s">
        <v>55</v>
      </c>
      <c r="C123">
        <v>-1.21361316</v>
      </c>
      <c r="D123">
        <v>0.79982920999999996</v>
      </c>
      <c r="E123">
        <v>0.92525484999999996</v>
      </c>
      <c r="F123">
        <f>C123-C120</f>
        <v>-0.87301994000000005</v>
      </c>
      <c r="G123">
        <f>D123-D120</f>
        <v>-0.56461406000000003</v>
      </c>
      <c r="H123">
        <f>E123-E120</f>
        <v>0.36568593999999999</v>
      </c>
      <c r="I123">
        <f>F119+F123</f>
        <v>11.6532787</v>
      </c>
      <c r="J123">
        <f>G119+G123</f>
        <v>4.6093066999999994</v>
      </c>
      <c r="K123">
        <f>H119+H123</f>
        <v>6.6012308099999997</v>
      </c>
    </row>
    <row r="124" spans="1:11" x14ac:dyDescent="0.3">
      <c r="B124" t="s">
        <v>33</v>
      </c>
    </row>
    <row r="127" spans="1:11" x14ac:dyDescent="0.3">
      <c r="A127" t="s">
        <v>56</v>
      </c>
    </row>
    <row r="130" spans="1:11" x14ac:dyDescent="0.3">
      <c r="A130" t="s">
        <v>57</v>
      </c>
      <c r="F130">
        <v>12.52629864</v>
      </c>
      <c r="G130">
        <v>5.1739207599999997</v>
      </c>
      <c r="H130">
        <v>6.23554487</v>
      </c>
    </row>
    <row r="131" spans="1:11" x14ac:dyDescent="0.3">
      <c r="B131" t="s">
        <v>11</v>
      </c>
      <c r="C131">
        <v>-6.2538789999999997E-2</v>
      </c>
      <c r="D131">
        <v>0.31903204000000002</v>
      </c>
      <c r="E131">
        <v>0</v>
      </c>
      <c r="F131">
        <f>C131-C131</f>
        <v>0</v>
      </c>
      <c r="G131">
        <f>D131-D131</f>
        <v>0</v>
      </c>
      <c r="H131">
        <f>E131-E131</f>
        <v>0</v>
      </c>
      <c r="I131">
        <v>12.52629864</v>
      </c>
      <c r="J131">
        <v>5.1739207599999997</v>
      </c>
      <c r="K131">
        <v>6.23554487</v>
      </c>
    </row>
    <row r="132" spans="1:11" x14ac:dyDescent="0.3">
      <c r="B132" t="s">
        <v>27</v>
      </c>
      <c r="C132">
        <v>-0.91347376999999996</v>
      </c>
      <c r="D132">
        <v>-0.37961917000000001</v>
      </c>
      <c r="E132">
        <v>0</v>
      </c>
      <c r="F132">
        <f>C132-C131</f>
        <v>-0.85093498000000001</v>
      </c>
      <c r="G132">
        <f>D132-D131</f>
        <v>-0.69865120999999997</v>
      </c>
      <c r="H132">
        <f>E132-E131</f>
        <v>0</v>
      </c>
      <c r="I132">
        <f>F130+F132</f>
        <v>11.67536366</v>
      </c>
      <c r="J132">
        <f>G130+G132</f>
        <v>4.4752695500000002</v>
      </c>
      <c r="K132">
        <f>H130+H132</f>
        <v>6.23554487</v>
      </c>
    </row>
    <row r="133" spans="1:11" x14ac:dyDescent="0.3">
      <c r="B133" t="s">
        <v>32</v>
      </c>
      <c r="C133">
        <v>0.88008571999999996</v>
      </c>
      <c r="D133">
        <v>-0.24987976000000001</v>
      </c>
      <c r="E133">
        <v>0</v>
      </c>
      <c r="F133">
        <f>C133-C131</f>
        <v>0.94262450999999992</v>
      </c>
      <c r="G133">
        <f>D133-D131</f>
        <v>-0.56891179999999997</v>
      </c>
      <c r="H133">
        <f>E133-E131</f>
        <v>0</v>
      </c>
      <c r="I133">
        <f>F130+F133</f>
        <v>13.46892315</v>
      </c>
      <c r="J133">
        <f>G130+G133</f>
        <v>4.6050089599999993</v>
      </c>
      <c r="K133">
        <f>H130+H133</f>
        <v>6.23554487</v>
      </c>
    </row>
    <row r="136" spans="1:11" x14ac:dyDescent="0.3">
      <c r="A136" t="s">
        <v>58</v>
      </c>
    </row>
    <row r="137" spans="1:11" x14ac:dyDescent="0.3">
      <c r="B137" t="s">
        <v>11</v>
      </c>
    </row>
    <row r="138" spans="1:11" x14ac:dyDescent="0.3">
      <c r="B138" t="s">
        <v>27</v>
      </c>
    </row>
    <row r="139" spans="1:11" x14ac:dyDescent="0.3">
      <c r="B139" t="s">
        <v>32</v>
      </c>
    </row>
    <row r="140" spans="1:11" x14ac:dyDescent="0.3">
      <c r="B140" t="s">
        <v>33</v>
      </c>
    </row>
    <row r="141" spans="1:11" x14ac:dyDescent="0.3">
      <c r="B141" t="s">
        <v>50</v>
      </c>
    </row>
    <row r="144" spans="1:11" x14ac:dyDescent="0.3">
      <c r="A144" t="s">
        <v>59</v>
      </c>
      <c r="F144">
        <v>12.52629864</v>
      </c>
      <c r="G144">
        <v>5.1739207599999997</v>
      </c>
      <c r="H144">
        <v>6.23554487</v>
      </c>
    </row>
    <row r="145" spans="2:11" x14ac:dyDescent="0.3">
      <c r="B145" t="s">
        <v>11</v>
      </c>
      <c r="C145">
        <v>-0.63088387999999995</v>
      </c>
      <c r="D145">
        <v>0.58011268999999999</v>
      </c>
      <c r="E145">
        <v>0</v>
      </c>
      <c r="F145">
        <f>C145-C145</f>
        <v>0</v>
      </c>
      <c r="G145">
        <f>D145-D145</f>
        <v>0</v>
      </c>
      <c r="H145">
        <f>E145-E145</f>
        <v>0</v>
      </c>
      <c r="I145">
        <v>12.52629864</v>
      </c>
      <c r="J145">
        <v>5.1739207599999997</v>
      </c>
      <c r="K145">
        <v>6.23554487</v>
      </c>
    </row>
    <row r="146" spans="2:11" x14ac:dyDescent="0.3">
      <c r="B146" t="s">
        <v>27</v>
      </c>
      <c r="C146">
        <v>0.23278852999999999</v>
      </c>
      <c r="D146">
        <v>-0.10272769</v>
      </c>
      <c r="E146">
        <v>0</v>
      </c>
      <c r="F146">
        <f>C146-C145</f>
        <v>0.86367240999999995</v>
      </c>
      <c r="G146">
        <f>D146-D145</f>
        <v>-0.68284038000000002</v>
      </c>
      <c r="H146">
        <f>E146-E145</f>
        <v>0</v>
      </c>
      <c r="I146">
        <f>F144+F146</f>
        <v>13.38997105</v>
      </c>
      <c r="J146">
        <f>G144+G146</f>
        <v>4.4910803799999996</v>
      </c>
      <c r="K146">
        <f>H144+H146</f>
        <v>6.23554487</v>
      </c>
    </row>
    <row r="147" spans="2:11" x14ac:dyDescent="0.3">
      <c r="B147" t="s">
        <v>32</v>
      </c>
      <c r="C147">
        <v>-1.65407718</v>
      </c>
      <c r="D147">
        <v>0.17357069999999999</v>
      </c>
      <c r="E147">
        <v>0</v>
      </c>
      <c r="F147">
        <f>C147-C145</f>
        <v>-1.0231933</v>
      </c>
      <c r="G147">
        <f>D147-D145</f>
        <v>-0.40654199000000002</v>
      </c>
      <c r="H147">
        <f>E147-E145</f>
        <v>0</v>
      </c>
      <c r="I147">
        <f>F144+F147</f>
        <v>11.503105340000001</v>
      </c>
      <c r="J147">
        <f>G144+G147</f>
        <v>4.7673787699999997</v>
      </c>
      <c r="K147">
        <f>H144+H147</f>
        <v>6.23554487</v>
      </c>
    </row>
    <row r="148" spans="2:11" x14ac:dyDescent="0.3">
      <c r="B148" t="s">
        <v>33</v>
      </c>
      <c r="C148">
        <v>-0.47136294000000001</v>
      </c>
      <c r="D148">
        <v>1.6694951499999999</v>
      </c>
      <c r="E148">
        <v>0</v>
      </c>
      <c r="F148">
        <f>C148-C145</f>
        <v>0.15952093999999994</v>
      </c>
      <c r="G148">
        <f>D148-D145</f>
        <v>1.0893824599999999</v>
      </c>
      <c r="H148">
        <f>E148-E145</f>
        <v>0</v>
      </c>
      <c r="I148">
        <f>F144+F148</f>
        <v>12.68581958</v>
      </c>
      <c r="J148">
        <f>G144+G148</f>
        <v>6.2633032199999992</v>
      </c>
      <c r="K148">
        <f>H144+H148</f>
        <v>6.23554487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3E137-35A7-4FAE-BA00-D3694F4DA0EE}">
  <dimension ref="A2:J39"/>
  <sheetViews>
    <sheetView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23.5546875" customWidth="1"/>
    <col min="3" max="3" width="17.6640625" customWidth="1"/>
    <col min="4" max="4" width="17.21875" customWidth="1"/>
    <col min="5" max="5" width="24.6640625" customWidth="1"/>
    <col min="6" max="6" width="20.6640625" customWidth="1"/>
    <col min="7" max="7" width="19.6640625" customWidth="1"/>
    <col min="8" max="8" width="23.109375" customWidth="1"/>
    <col min="9" max="9" width="20.44140625" customWidth="1"/>
    <col min="10" max="10" width="21.44140625" customWidth="1"/>
  </cols>
  <sheetData>
    <row r="2" spans="1:10" x14ac:dyDescent="0.3">
      <c r="A2" t="s">
        <v>89</v>
      </c>
      <c r="C2" t="s">
        <v>91</v>
      </c>
      <c r="D2" t="s">
        <v>92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90</v>
      </c>
    </row>
    <row r="3" spans="1:10" x14ac:dyDescent="0.3">
      <c r="A3" t="s">
        <v>4</v>
      </c>
      <c r="B3" t="s">
        <v>60</v>
      </c>
      <c r="C3">
        <f t="shared" ref="C3:E8" si="0">G3*0.0433641</f>
        <v>1.3138455017999999</v>
      </c>
      <c r="D3">
        <f t="shared" si="0"/>
        <v>3.4913304192000001</v>
      </c>
      <c r="E3">
        <f t="shared" si="0"/>
        <v>-0.69837883050000005</v>
      </c>
      <c r="F3">
        <f t="shared" ref="F3:F8" si="1">E3-C3+D3</f>
        <v>1.4791060869000003</v>
      </c>
      <c r="G3">
        <v>30.297999999999998</v>
      </c>
      <c r="H3">
        <v>80.512</v>
      </c>
      <c r="I3">
        <v>-16.105</v>
      </c>
    </row>
    <row r="4" spans="1:10" x14ac:dyDescent="0.3">
      <c r="A4" t="s">
        <v>15</v>
      </c>
      <c r="B4" t="s">
        <v>61</v>
      </c>
      <c r="C4">
        <f t="shared" si="0"/>
        <v>1.4489680374000002</v>
      </c>
      <c r="D4">
        <f t="shared" si="0"/>
        <v>3.7147856265000003</v>
      </c>
      <c r="E4">
        <f t="shared" si="0"/>
        <v>-0.73567195650000006</v>
      </c>
      <c r="F4">
        <f t="shared" si="1"/>
        <v>1.5301456326</v>
      </c>
      <c r="G4">
        <v>33.414000000000001</v>
      </c>
      <c r="H4">
        <v>85.665000000000006</v>
      </c>
      <c r="I4">
        <v>-16.965</v>
      </c>
    </row>
    <row r="5" spans="1:10" x14ac:dyDescent="0.3">
      <c r="A5" t="s">
        <v>19</v>
      </c>
      <c r="B5" t="s">
        <v>62</v>
      </c>
      <c r="C5">
        <f t="shared" si="0"/>
        <v>1.4707801797000002</v>
      </c>
      <c r="D5">
        <f t="shared" si="0"/>
        <v>3.6213793551000002</v>
      </c>
      <c r="E5">
        <f t="shared" si="0"/>
        <v>-0.67257719100000002</v>
      </c>
      <c r="F5">
        <f t="shared" si="1"/>
        <v>1.4780219843999998</v>
      </c>
      <c r="G5">
        <v>33.917000000000002</v>
      </c>
      <c r="H5">
        <v>83.510999999999996</v>
      </c>
      <c r="I5">
        <v>-15.51</v>
      </c>
    </row>
    <row r="6" spans="1:10" x14ac:dyDescent="0.3">
      <c r="A6" t="s">
        <v>21</v>
      </c>
      <c r="B6" t="s">
        <v>63</v>
      </c>
      <c r="C6">
        <f t="shared" si="0"/>
        <v>1.1432511324000001</v>
      </c>
      <c r="D6">
        <f t="shared" si="0"/>
        <v>3.5847366906000002</v>
      </c>
      <c r="E6">
        <f t="shared" si="0"/>
        <v>-0.94668166710000001</v>
      </c>
      <c r="F6">
        <f t="shared" si="1"/>
        <v>1.4948038911000001</v>
      </c>
      <c r="G6">
        <v>26.364000000000001</v>
      </c>
      <c r="H6">
        <v>82.665999999999997</v>
      </c>
      <c r="I6">
        <v>-21.831</v>
      </c>
    </row>
    <row r="7" spans="1:10" x14ac:dyDescent="0.3">
      <c r="A7" t="s">
        <v>23</v>
      </c>
      <c r="B7" t="s">
        <v>64</v>
      </c>
      <c r="C7">
        <f t="shared" si="0"/>
        <v>1.8552896544000002</v>
      </c>
      <c r="D7">
        <f t="shared" si="0"/>
        <v>3.6366001541999999</v>
      </c>
      <c r="E7">
        <f t="shared" si="0"/>
        <v>-0.25138168770000002</v>
      </c>
      <c r="F7">
        <f t="shared" si="1"/>
        <v>1.5299288120999996</v>
      </c>
      <c r="G7">
        <v>42.783999999999999</v>
      </c>
      <c r="H7">
        <v>83.861999999999995</v>
      </c>
      <c r="I7">
        <v>-5.7969999999999997</v>
      </c>
    </row>
    <row r="8" spans="1:10" x14ac:dyDescent="0.3">
      <c r="A8" t="s">
        <v>24</v>
      </c>
      <c r="B8" t="s">
        <v>65</v>
      </c>
      <c r="C8">
        <f t="shared" si="0"/>
        <v>1.7577204294</v>
      </c>
      <c r="D8">
        <f t="shared" si="0"/>
        <v>3.5756302296000002</v>
      </c>
      <c r="E8">
        <f t="shared" si="0"/>
        <v>-0.32961052410000002</v>
      </c>
      <c r="F8">
        <f t="shared" si="1"/>
        <v>1.4882992761000002</v>
      </c>
      <c r="G8">
        <v>40.533999999999999</v>
      </c>
      <c r="H8">
        <v>82.456000000000003</v>
      </c>
      <c r="I8">
        <v>-7.601</v>
      </c>
    </row>
    <row r="9" spans="1:10" x14ac:dyDescent="0.3">
      <c r="A9" t="s">
        <v>40</v>
      </c>
      <c r="B9" t="s">
        <v>70</v>
      </c>
      <c r="C9">
        <f t="shared" ref="C9" si="2">G9*0.0433641</f>
        <v>1.9573687458</v>
      </c>
      <c r="D9">
        <f t="shared" ref="D9" si="3">H9*0.0433641</f>
        <v>3.5218587455999999</v>
      </c>
      <c r="E9">
        <f t="shared" ref="E9" si="4">I9*0.0433641</f>
        <v>-9.9694065900000003E-2</v>
      </c>
      <c r="F9">
        <f t="shared" ref="F9" si="5">E9-C9+D9</f>
        <v>1.4647959339000001</v>
      </c>
      <c r="G9">
        <v>45.137999999999998</v>
      </c>
      <c r="H9">
        <v>81.215999999999994</v>
      </c>
      <c r="I9">
        <v>-2.2989999999999999</v>
      </c>
    </row>
    <row r="10" spans="1:10" x14ac:dyDescent="0.3">
      <c r="A10" t="s">
        <v>42</v>
      </c>
      <c r="B10" t="s">
        <v>71</v>
      </c>
      <c r="C10">
        <f t="shared" ref="C10" si="6">G10*0.0433641</f>
        <v>1.6013061207000001</v>
      </c>
      <c r="D10">
        <f t="shared" ref="D10" si="7">H10*0.0433641</f>
        <v>3.6815253617999999</v>
      </c>
      <c r="E10">
        <f t="shared" ref="E10" si="8">I10*0.0433641</f>
        <v>-0.55055061360000002</v>
      </c>
      <c r="F10">
        <f t="shared" ref="F10" si="9">E10-C10+D10</f>
        <v>1.5296686275</v>
      </c>
      <c r="G10">
        <v>36.927</v>
      </c>
      <c r="H10">
        <v>84.897999999999996</v>
      </c>
      <c r="I10">
        <v>-12.696</v>
      </c>
    </row>
    <row r="11" spans="1:10" x14ac:dyDescent="0.3">
      <c r="A11" t="s">
        <v>48</v>
      </c>
      <c r="B11" t="s">
        <v>72</v>
      </c>
      <c r="C11">
        <f t="shared" ref="C11" si="10">G11*0.0433641</f>
        <v>1.7019541968</v>
      </c>
      <c r="D11">
        <f t="shared" ref="D11" si="11">H11*0.0433641</f>
        <v>3.6349089542999997</v>
      </c>
      <c r="E11">
        <f t="shared" ref="E11" si="12">I11*0.0433641</f>
        <v>-0.41399706270000003</v>
      </c>
      <c r="F11">
        <f t="shared" ref="F11" si="13">E11-C11+D11</f>
        <v>1.5189576947999996</v>
      </c>
      <c r="G11">
        <v>39.247999999999998</v>
      </c>
      <c r="H11">
        <v>83.822999999999993</v>
      </c>
      <c r="I11">
        <v>-9.5470000000000006</v>
      </c>
    </row>
    <row r="12" spans="1:10" x14ac:dyDescent="0.3">
      <c r="A12" t="s">
        <v>49</v>
      </c>
      <c r="B12" t="s">
        <v>73</v>
      </c>
      <c r="C12">
        <f t="shared" ref="C12" si="14">G12*0.0433641</f>
        <v>2.3190253398</v>
      </c>
      <c r="D12">
        <f t="shared" ref="D12" si="15">H12*0.0433641</f>
        <v>3.6531652404000003</v>
      </c>
      <c r="E12">
        <f t="shared" ref="E12" si="16">I12*0.0433641</f>
        <v>0.18529479930000001</v>
      </c>
      <c r="F12">
        <f t="shared" ref="F12" si="17">E12-C12+D12</f>
        <v>1.5194346999000001</v>
      </c>
      <c r="G12">
        <v>53.478000000000002</v>
      </c>
      <c r="H12">
        <v>84.244</v>
      </c>
      <c r="I12">
        <v>4.2729999999999997</v>
      </c>
    </row>
    <row r="13" spans="1:10" x14ac:dyDescent="0.3">
      <c r="A13" t="s">
        <v>51</v>
      </c>
      <c r="B13" t="s">
        <v>70</v>
      </c>
      <c r="C13">
        <f t="shared" ref="C13:C15" si="18">G13*0.0433641</f>
        <v>1.9573687458</v>
      </c>
      <c r="D13">
        <f t="shared" ref="D13:D15" si="19">H13*0.0433641</f>
        <v>3.5218587455999999</v>
      </c>
      <c r="E13">
        <f t="shared" ref="E13:E15" si="20">I13*0.0433641</f>
        <v>-9.9694065900000003E-2</v>
      </c>
      <c r="F13">
        <f t="shared" ref="F13:F15" si="21">E13-C13+D13</f>
        <v>1.4647959339000001</v>
      </c>
      <c r="G13">
        <v>45.137999999999998</v>
      </c>
      <c r="H13">
        <v>81.215999999999994</v>
      </c>
      <c r="I13">
        <v>-2.2989999999999999</v>
      </c>
    </row>
    <row r="14" spans="1:10" x14ac:dyDescent="0.3">
      <c r="A14" t="s">
        <v>52</v>
      </c>
      <c r="B14" t="s">
        <v>74</v>
      </c>
      <c r="C14">
        <f t="shared" si="18"/>
        <v>1.1844036633000001</v>
      </c>
      <c r="D14">
        <f t="shared" si="19"/>
        <v>3.7124006010000001</v>
      </c>
      <c r="E14">
        <f t="shared" si="20"/>
        <v>-1.0270787084999999</v>
      </c>
      <c r="F14">
        <f t="shared" si="21"/>
        <v>1.5009182292000003</v>
      </c>
      <c r="G14">
        <v>27.312999999999999</v>
      </c>
      <c r="H14">
        <v>85.61</v>
      </c>
      <c r="I14">
        <v>-23.684999999999999</v>
      </c>
    </row>
    <row r="15" spans="1:10" x14ac:dyDescent="0.3">
      <c r="A15" t="s">
        <v>53</v>
      </c>
      <c r="B15" t="s">
        <v>75</v>
      </c>
      <c r="C15">
        <f t="shared" si="18"/>
        <v>1.9351663266000001</v>
      </c>
      <c r="D15">
        <f t="shared" si="19"/>
        <v>3.6202085244000002</v>
      </c>
      <c r="E15">
        <f t="shared" si="20"/>
        <v>-0.16990054380000003</v>
      </c>
      <c r="F15">
        <f t="shared" si="21"/>
        <v>1.5151416540000002</v>
      </c>
      <c r="G15">
        <v>44.625999999999998</v>
      </c>
      <c r="H15">
        <v>83.483999999999995</v>
      </c>
      <c r="I15">
        <v>-3.9180000000000001</v>
      </c>
    </row>
    <row r="16" spans="1:10" x14ac:dyDescent="0.3">
      <c r="A16" t="s">
        <v>57</v>
      </c>
      <c r="B16" t="s">
        <v>77</v>
      </c>
      <c r="C16">
        <f t="shared" ref="C16" si="22">G16*0.0433641</f>
        <v>1.4487512169000001</v>
      </c>
      <c r="D16">
        <f t="shared" ref="D16" si="23">H16*0.0433641</f>
        <v>3.5993070282000001</v>
      </c>
      <c r="E16">
        <f t="shared" ref="E16" si="24">I16*0.0433641</f>
        <v>-0.65700947910000007</v>
      </c>
      <c r="F16">
        <f t="shared" ref="F16" si="25">E16-C16+D16</f>
        <v>1.4935463322000002</v>
      </c>
      <c r="G16">
        <v>33.408999999999999</v>
      </c>
      <c r="H16">
        <v>83.001999999999995</v>
      </c>
      <c r="I16">
        <v>-15.151</v>
      </c>
    </row>
    <row r="17" spans="1:10" x14ac:dyDescent="0.3">
      <c r="A17" t="s">
        <v>78</v>
      </c>
      <c r="B17" t="s">
        <v>79</v>
      </c>
      <c r="C17">
        <f t="shared" ref="C17" si="26">G17*0.0433641</f>
        <v>2.2219331199000001</v>
      </c>
      <c r="D17">
        <f t="shared" ref="D17" si="27">H17*0.0433641</f>
        <v>3.7518185679000005</v>
      </c>
      <c r="E17">
        <f t="shared" ref="E17" si="28">I17*0.0433641</f>
        <v>2.4717537000000004E-3</v>
      </c>
      <c r="F17">
        <f t="shared" ref="F17" si="29">E17-C17+D17</f>
        <v>1.5323572017000004</v>
      </c>
      <c r="G17">
        <v>51.238999999999997</v>
      </c>
      <c r="H17">
        <v>86.519000000000005</v>
      </c>
      <c r="I17">
        <v>5.7000000000000002E-2</v>
      </c>
    </row>
    <row r="18" spans="1:10" x14ac:dyDescent="0.3">
      <c r="A18" t="s">
        <v>59</v>
      </c>
      <c r="B18" t="s">
        <v>80</v>
      </c>
      <c r="C18">
        <f>G18*0.0433641</f>
        <v>1.8642226590000002</v>
      </c>
      <c r="D18">
        <f t="shared" ref="D18" si="30">H18*0.0433641</f>
        <v>3.5635316457000004</v>
      </c>
      <c r="E18">
        <f t="shared" ref="E18" si="31">I18*0.0433641</f>
        <v>-0.1996049523</v>
      </c>
      <c r="F18">
        <f t="shared" ref="F18" si="32">E18-C18+D18</f>
        <v>1.4997040344000001</v>
      </c>
      <c r="G18">
        <v>42.99</v>
      </c>
      <c r="H18">
        <v>82.177000000000007</v>
      </c>
      <c r="I18">
        <v>-4.6029999999999998</v>
      </c>
    </row>
    <row r="19" spans="1:10" x14ac:dyDescent="0.3">
      <c r="A19" t="s">
        <v>81</v>
      </c>
      <c r="B19" t="s">
        <v>79</v>
      </c>
      <c r="C19">
        <f t="shared" ref="C19" si="33">G19*0.0433641</f>
        <v>2.2219331199000001</v>
      </c>
      <c r="D19">
        <f t="shared" ref="D19" si="34">H19*0.0433641</f>
        <v>3.7518185679000005</v>
      </c>
      <c r="E19">
        <f t="shared" ref="E19" si="35">I19*0.0433641</f>
        <v>2.4717537000000004E-3</v>
      </c>
      <c r="F19">
        <f t="shared" ref="F19" si="36">E19-C19+D19</f>
        <v>1.5323572017000004</v>
      </c>
      <c r="G19">
        <v>51.238999999999997</v>
      </c>
      <c r="H19">
        <v>86.519000000000005</v>
      </c>
      <c r="I19">
        <v>5.7000000000000002E-2</v>
      </c>
    </row>
    <row r="22" spans="1:10" x14ac:dyDescent="0.3">
      <c r="A22" s="1" t="s">
        <v>98</v>
      </c>
      <c r="C22" t="s">
        <v>91</v>
      </c>
      <c r="D22" t="s">
        <v>92</v>
      </c>
      <c r="E22" t="s">
        <v>93</v>
      </c>
      <c r="F22" t="s">
        <v>94</v>
      </c>
      <c r="G22" t="s">
        <v>95</v>
      </c>
      <c r="H22" t="s">
        <v>96</v>
      </c>
      <c r="I22" t="s">
        <v>97</v>
      </c>
      <c r="J22" t="s">
        <v>90</v>
      </c>
    </row>
    <row r="23" spans="1:10" x14ac:dyDescent="0.3">
      <c r="A23" t="s">
        <v>4</v>
      </c>
      <c r="B23" t="s">
        <v>60</v>
      </c>
      <c r="C23">
        <f t="shared" ref="C23:C39" si="37">G23*0.0433641</f>
        <v>1.3069939740000001</v>
      </c>
      <c r="D23">
        <f t="shared" ref="D23:D39" si="38">H23*0.0433641</f>
        <v>3.5362122626999999</v>
      </c>
      <c r="E23">
        <f t="shared" ref="E23:E39" si="39">I23*0.0433641</f>
        <v>-0.74716344300000004</v>
      </c>
      <c r="F23">
        <f t="shared" ref="F23:F39" si="40">E23-C23+D23</f>
        <v>1.4820548457</v>
      </c>
      <c r="G23">
        <v>30.14</v>
      </c>
      <c r="H23">
        <v>81.546999999999997</v>
      </c>
      <c r="I23">
        <v>-17.23</v>
      </c>
    </row>
    <row r="24" spans="1:10" x14ac:dyDescent="0.3">
      <c r="A24" t="s">
        <v>15</v>
      </c>
      <c r="B24" t="s">
        <v>61</v>
      </c>
      <c r="C24">
        <f t="shared" si="37"/>
        <v>1.4569470318</v>
      </c>
      <c r="D24">
        <f t="shared" si="38"/>
        <v>3.5737222092000005</v>
      </c>
      <c r="E24">
        <f t="shared" si="39"/>
        <v>-0.6200199018</v>
      </c>
      <c r="F24">
        <f t="shared" si="40"/>
        <v>1.4967552756000004</v>
      </c>
      <c r="G24">
        <v>33.597999999999999</v>
      </c>
      <c r="H24">
        <v>82.412000000000006</v>
      </c>
      <c r="I24">
        <v>-14.298</v>
      </c>
    </row>
    <row r="25" spans="1:10" x14ac:dyDescent="0.3">
      <c r="A25" t="s">
        <v>19</v>
      </c>
      <c r="B25" t="s">
        <v>62</v>
      </c>
      <c r="C25">
        <f t="shared" si="37"/>
        <v>1.5001810395000001</v>
      </c>
      <c r="D25">
        <f t="shared" si="38"/>
        <v>3.4292330280000001</v>
      </c>
      <c r="E25">
        <f t="shared" si="39"/>
        <v>-0.46312858800000001</v>
      </c>
      <c r="F25">
        <f t="shared" si="40"/>
        <v>1.4659234004999999</v>
      </c>
      <c r="G25">
        <v>34.594999999999999</v>
      </c>
      <c r="H25">
        <v>79.08</v>
      </c>
      <c r="I25">
        <v>-10.68</v>
      </c>
    </row>
    <row r="26" spans="1:10" x14ac:dyDescent="0.3">
      <c r="A26" t="s">
        <v>21</v>
      </c>
      <c r="B26" t="s">
        <v>63</v>
      </c>
      <c r="C26">
        <f t="shared" si="37"/>
        <v>1.1385244455000001</v>
      </c>
      <c r="D26">
        <f t="shared" si="38"/>
        <v>3.5377733703000001</v>
      </c>
      <c r="E26">
        <f t="shared" si="39"/>
        <v>-0.92851210920000005</v>
      </c>
      <c r="F26">
        <f t="shared" si="40"/>
        <v>1.4707368156</v>
      </c>
      <c r="G26">
        <v>26.254999999999999</v>
      </c>
      <c r="H26">
        <v>81.582999999999998</v>
      </c>
      <c r="I26">
        <v>-21.411999999999999</v>
      </c>
    </row>
    <row r="27" spans="1:10" x14ac:dyDescent="0.3">
      <c r="A27" t="s">
        <v>23</v>
      </c>
      <c r="B27" t="s">
        <v>64</v>
      </c>
      <c r="C27">
        <f t="shared" si="37"/>
        <v>1.8418034193000001</v>
      </c>
      <c r="D27">
        <f t="shared" si="38"/>
        <v>3.4763698047000005</v>
      </c>
      <c r="E27">
        <f t="shared" si="39"/>
        <v>-0.1503866988</v>
      </c>
      <c r="F27">
        <f t="shared" si="40"/>
        <v>1.4841796866000003</v>
      </c>
      <c r="G27">
        <v>42.472999999999999</v>
      </c>
      <c r="H27">
        <v>80.167000000000002</v>
      </c>
      <c r="I27">
        <v>-3.468</v>
      </c>
    </row>
    <row r="28" spans="1:10" x14ac:dyDescent="0.3">
      <c r="A28" t="s">
        <v>24</v>
      </c>
      <c r="B28" t="s">
        <v>65</v>
      </c>
      <c r="C28">
        <f t="shared" si="37"/>
        <v>1.7757165309</v>
      </c>
      <c r="D28">
        <f t="shared" si="38"/>
        <v>3.3020894867999999</v>
      </c>
      <c r="E28">
        <f t="shared" si="39"/>
        <v>-0.10663232190000001</v>
      </c>
      <c r="F28">
        <f t="shared" si="40"/>
        <v>1.4197406339999998</v>
      </c>
      <c r="G28">
        <v>40.948999999999998</v>
      </c>
      <c r="H28">
        <v>76.147999999999996</v>
      </c>
      <c r="I28">
        <v>-2.4590000000000001</v>
      </c>
    </row>
    <row r="29" spans="1:10" x14ac:dyDescent="0.3">
      <c r="A29" t="s">
        <v>40</v>
      </c>
      <c r="B29" t="s">
        <v>70</v>
      </c>
      <c r="C29">
        <f t="shared" si="37"/>
        <v>1.9534659768000002</v>
      </c>
      <c r="D29">
        <f t="shared" si="38"/>
        <v>3.4180450902000001</v>
      </c>
      <c r="E29">
        <f t="shared" si="39"/>
        <v>-3.0181413599999998E-2</v>
      </c>
      <c r="F29">
        <f t="shared" si="40"/>
        <v>1.4343976997999999</v>
      </c>
      <c r="G29">
        <v>45.048000000000002</v>
      </c>
      <c r="H29">
        <v>78.822000000000003</v>
      </c>
      <c r="I29">
        <v>-0.69599999999999995</v>
      </c>
    </row>
    <row r="30" spans="1:10" x14ac:dyDescent="0.3">
      <c r="A30" t="s">
        <v>42</v>
      </c>
      <c r="B30" t="s">
        <v>71</v>
      </c>
      <c r="C30">
        <f t="shared" si="37"/>
        <v>1.5796240707</v>
      </c>
      <c r="D30">
        <f t="shared" si="38"/>
        <v>3.4768901739000002</v>
      </c>
      <c r="E30">
        <f t="shared" si="39"/>
        <v>-0.43771722540000002</v>
      </c>
      <c r="F30">
        <f t="shared" si="40"/>
        <v>1.4595488778000001</v>
      </c>
      <c r="G30">
        <v>36.427</v>
      </c>
      <c r="H30">
        <v>80.179000000000002</v>
      </c>
      <c r="I30">
        <v>-10.093999999999999</v>
      </c>
    </row>
    <row r="31" spans="1:10" x14ac:dyDescent="0.3">
      <c r="A31" t="s">
        <v>48</v>
      </c>
      <c r="B31" t="s">
        <v>72</v>
      </c>
      <c r="C31">
        <f t="shared" si="37"/>
        <v>1.5965360697000002</v>
      </c>
      <c r="D31">
        <f t="shared" si="38"/>
        <v>3.4618428311999998</v>
      </c>
      <c r="E31">
        <f t="shared" si="39"/>
        <v>-0.38741486939999997</v>
      </c>
      <c r="F31">
        <f t="shared" si="40"/>
        <v>1.4778918920999997</v>
      </c>
      <c r="G31">
        <v>36.817</v>
      </c>
      <c r="H31">
        <v>79.831999999999994</v>
      </c>
      <c r="I31">
        <v>-8.9339999999999993</v>
      </c>
    </row>
    <row r="32" spans="1:10" x14ac:dyDescent="0.3">
      <c r="A32" t="s">
        <v>49</v>
      </c>
      <c r="B32" t="s">
        <v>73</v>
      </c>
      <c r="C32">
        <f t="shared" si="37"/>
        <v>2.3146022016000001</v>
      </c>
      <c r="D32">
        <f t="shared" si="38"/>
        <v>3.5263252479000005</v>
      </c>
      <c r="E32">
        <f t="shared" si="39"/>
        <v>0.28108609620000002</v>
      </c>
      <c r="F32">
        <f t="shared" si="40"/>
        <v>1.4928091425000005</v>
      </c>
      <c r="G32">
        <v>53.375999999999998</v>
      </c>
      <c r="H32">
        <v>81.319000000000003</v>
      </c>
      <c r="I32">
        <v>6.4820000000000002</v>
      </c>
    </row>
    <row r="33" spans="1:9" x14ac:dyDescent="0.3">
      <c r="A33" t="s">
        <v>51</v>
      </c>
      <c r="B33" t="s">
        <v>70</v>
      </c>
      <c r="C33">
        <f t="shared" si="37"/>
        <v>1.9534659768000002</v>
      </c>
      <c r="D33">
        <f t="shared" si="38"/>
        <v>3.4180450902000001</v>
      </c>
      <c r="E33">
        <f t="shared" si="39"/>
        <v>-3.0181413599999998E-2</v>
      </c>
      <c r="F33">
        <f t="shared" si="40"/>
        <v>1.4343976997999999</v>
      </c>
      <c r="G33">
        <v>45.048000000000002</v>
      </c>
      <c r="H33">
        <v>78.822000000000003</v>
      </c>
      <c r="I33">
        <v>-0.69599999999999995</v>
      </c>
    </row>
    <row r="34" spans="1:9" x14ac:dyDescent="0.3">
      <c r="A34" t="s">
        <v>52</v>
      </c>
      <c r="B34" t="s">
        <v>74</v>
      </c>
      <c r="C34">
        <f t="shared" si="37"/>
        <v>1.1864417760000001</v>
      </c>
      <c r="D34">
        <f t="shared" si="38"/>
        <v>3.3742039851000003</v>
      </c>
      <c r="E34">
        <f t="shared" si="39"/>
        <v>-0.76672065210000007</v>
      </c>
      <c r="F34">
        <f t="shared" si="40"/>
        <v>1.4210415570000001</v>
      </c>
      <c r="G34">
        <v>27.36</v>
      </c>
      <c r="H34">
        <v>77.811000000000007</v>
      </c>
      <c r="I34">
        <v>-17.681000000000001</v>
      </c>
    </row>
    <row r="35" spans="1:9" x14ac:dyDescent="0.3">
      <c r="A35" t="s">
        <v>53</v>
      </c>
      <c r="B35" t="s">
        <v>75</v>
      </c>
      <c r="C35">
        <f t="shared" si="37"/>
        <v>1.9262766861</v>
      </c>
      <c r="D35">
        <f t="shared" si="38"/>
        <v>3.5346077910000004</v>
      </c>
      <c r="E35">
        <f t="shared" si="39"/>
        <v>-0.12146284410000001</v>
      </c>
      <c r="F35">
        <f t="shared" si="40"/>
        <v>1.4868682608000006</v>
      </c>
      <c r="G35">
        <v>44.420999999999999</v>
      </c>
      <c r="H35">
        <v>81.510000000000005</v>
      </c>
      <c r="I35">
        <v>-2.8010000000000002</v>
      </c>
    </row>
    <row r="36" spans="1:9" x14ac:dyDescent="0.3">
      <c r="A36" t="s">
        <v>57</v>
      </c>
      <c r="B36" t="s">
        <v>77</v>
      </c>
      <c r="C36">
        <f t="shared" si="37"/>
        <v>1.4605896162000003</v>
      </c>
      <c r="D36">
        <f t="shared" si="38"/>
        <v>3.3378215052</v>
      </c>
      <c r="E36">
        <f t="shared" si="39"/>
        <v>-0.44435193270000001</v>
      </c>
      <c r="F36">
        <f t="shared" si="40"/>
        <v>1.4328799562999996</v>
      </c>
      <c r="G36">
        <v>33.682000000000002</v>
      </c>
      <c r="H36">
        <v>76.971999999999994</v>
      </c>
      <c r="I36">
        <v>-10.247</v>
      </c>
    </row>
    <row r="37" spans="1:9" x14ac:dyDescent="0.3">
      <c r="A37" t="s">
        <v>78</v>
      </c>
      <c r="B37" t="s">
        <v>79</v>
      </c>
      <c r="C37">
        <f t="shared" si="37"/>
        <v>2.2116124640999999</v>
      </c>
      <c r="D37">
        <f t="shared" si="38"/>
        <v>3.4907666859000002</v>
      </c>
      <c r="E37">
        <f t="shared" si="39"/>
        <v>0.20402809050000001</v>
      </c>
      <c r="F37">
        <f t="shared" si="40"/>
        <v>1.4831823123000003</v>
      </c>
      <c r="G37">
        <v>51.000999999999998</v>
      </c>
      <c r="H37">
        <v>80.498999999999995</v>
      </c>
      <c r="I37">
        <v>4.7050000000000001</v>
      </c>
    </row>
    <row r="38" spans="1:9" x14ac:dyDescent="0.3">
      <c r="A38" t="s">
        <v>59</v>
      </c>
      <c r="B38" t="s">
        <v>80</v>
      </c>
      <c r="C38">
        <f t="shared" si="37"/>
        <v>1.8426273371999999</v>
      </c>
      <c r="D38">
        <f t="shared" si="38"/>
        <v>3.5774948859000002</v>
      </c>
      <c r="E38">
        <f t="shared" si="39"/>
        <v>-0.23264839650000002</v>
      </c>
      <c r="F38">
        <f t="shared" si="40"/>
        <v>1.5022191522000004</v>
      </c>
      <c r="G38">
        <v>42.491999999999997</v>
      </c>
      <c r="H38">
        <v>82.498999999999995</v>
      </c>
      <c r="I38">
        <v>-5.3650000000000002</v>
      </c>
    </row>
    <row r="39" spans="1:9" x14ac:dyDescent="0.3">
      <c r="A39" t="s">
        <v>81</v>
      </c>
      <c r="B39" t="s">
        <v>79</v>
      </c>
      <c r="C39">
        <f t="shared" si="37"/>
        <v>2.2116124640999999</v>
      </c>
      <c r="D39">
        <f t="shared" si="38"/>
        <v>3.4907666859000002</v>
      </c>
      <c r="E39">
        <f t="shared" si="39"/>
        <v>0.20402809050000001</v>
      </c>
      <c r="F39">
        <f t="shared" si="40"/>
        <v>1.4831823123000003</v>
      </c>
      <c r="G39">
        <v>51.000999999999998</v>
      </c>
      <c r="H39">
        <v>80.498999999999995</v>
      </c>
      <c r="I39">
        <v>4.7050000000000001</v>
      </c>
    </row>
  </sheetData>
  <hyperlinks>
    <hyperlink ref="A22" r:id="rId1" xr:uid="{AB6D6487-E76F-4077-8564-EA87374239A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D728-991E-486C-A893-45AB35E16242}">
  <dimension ref="A1:C32"/>
  <sheetViews>
    <sheetView workbookViewId="0">
      <selection activeCell="G15" sqref="G15"/>
    </sheetView>
  </sheetViews>
  <sheetFormatPr defaultRowHeight="14.4" x14ac:dyDescent="0.3"/>
  <cols>
    <col min="1" max="1" width="15.77734375" customWidth="1"/>
    <col min="2" max="2" width="22" customWidth="1"/>
    <col min="3" max="3" width="35.109375" customWidth="1"/>
  </cols>
  <sheetData>
    <row r="1" spans="1:3" x14ac:dyDescent="0.3">
      <c r="A1" t="s">
        <v>0</v>
      </c>
      <c r="B1" t="s">
        <v>14</v>
      </c>
      <c r="C1" t="s">
        <v>82</v>
      </c>
    </row>
    <row r="2" spans="1:3" x14ac:dyDescent="0.3">
      <c r="A2" t="s">
        <v>4</v>
      </c>
      <c r="B2" t="s">
        <v>60</v>
      </c>
      <c r="C2">
        <v>-18.106999999999999</v>
      </c>
    </row>
    <row r="3" spans="1:3" x14ac:dyDescent="0.3">
      <c r="A3" t="s">
        <v>15</v>
      </c>
      <c r="B3" t="s">
        <v>61</v>
      </c>
      <c r="C3">
        <v>-15.331</v>
      </c>
    </row>
    <row r="4" spans="1:3" x14ac:dyDescent="0.3">
      <c r="A4" t="s">
        <v>19</v>
      </c>
      <c r="B4" t="s">
        <v>62</v>
      </c>
      <c r="C4">
        <v>-12.962999999999999</v>
      </c>
    </row>
    <row r="5" spans="1:3" x14ac:dyDescent="0.3">
      <c r="A5" t="s">
        <v>21</v>
      </c>
      <c r="B5" t="s">
        <v>63</v>
      </c>
      <c r="C5">
        <v>-24.434000000000001</v>
      </c>
    </row>
    <row r="6" spans="1:3" x14ac:dyDescent="0.3">
      <c r="A6" t="s">
        <v>23</v>
      </c>
      <c r="B6" t="s">
        <v>64</v>
      </c>
      <c r="C6">
        <v>-18.536999999999999</v>
      </c>
    </row>
    <row r="7" spans="1:3" x14ac:dyDescent="0.3">
      <c r="A7" t="s">
        <v>24</v>
      </c>
      <c r="B7" t="s">
        <v>65</v>
      </c>
      <c r="C7">
        <v>-7.3630000000000004</v>
      </c>
    </row>
    <row r="8" spans="1:3" x14ac:dyDescent="0.3">
      <c r="A8" t="s">
        <v>28</v>
      </c>
      <c r="B8" t="s">
        <v>66</v>
      </c>
      <c r="C8">
        <v>-19.198</v>
      </c>
    </row>
    <row r="9" spans="1:3" x14ac:dyDescent="0.3">
      <c r="A9" t="s">
        <v>29</v>
      </c>
      <c r="B9" t="s">
        <v>67</v>
      </c>
      <c r="C9">
        <v>-21.635000000000002</v>
      </c>
    </row>
    <row r="10" spans="1:3" x14ac:dyDescent="0.3">
      <c r="A10" t="s">
        <v>30</v>
      </c>
      <c r="B10" t="s">
        <v>68</v>
      </c>
      <c r="C10">
        <v>-2.1680000000000001</v>
      </c>
    </row>
    <row r="11" spans="1:3" x14ac:dyDescent="0.3">
      <c r="A11" t="s">
        <v>34</v>
      </c>
      <c r="B11" t="s">
        <v>69</v>
      </c>
      <c r="C11">
        <v>-1.528</v>
      </c>
    </row>
    <row r="12" spans="1:3" x14ac:dyDescent="0.3">
      <c r="A12" t="s">
        <v>40</v>
      </c>
      <c r="B12" t="s">
        <v>70</v>
      </c>
      <c r="C12">
        <v>-5.28</v>
      </c>
    </row>
    <row r="13" spans="1:3" x14ac:dyDescent="0.3">
      <c r="A13" t="s">
        <v>41</v>
      </c>
      <c r="B13" t="s">
        <v>11</v>
      </c>
      <c r="C13">
        <v>-26.81</v>
      </c>
    </row>
    <row r="14" spans="1:3" x14ac:dyDescent="0.3">
      <c r="A14" t="s">
        <v>42</v>
      </c>
      <c r="B14" t="s">
        <v>71</v>
      </c>
      <c r="C14">
        <v>-11.069000000000001</v>
      </c>
    </row>
    <row r="15" spans="1:3" x14ac:dyDescent="0.3">
      <c r="A15" t="s">
        <v>48</v>
      </c>
      <c r="B15" t="s">
        <v>72</v>
      </c>
      <c r="C15">
        <v>-11.865</v>
      </c>
    </row>
    <row r="16" spans="1:3" x14ac:dyDescent="0.3">
      <c r="A16" t="s">
        <v>49</v>
      </c>
      <c r="B16" t="s">
        <v>73</v>
      </c>
      <c r="C16">
        <v>4.0469999999999997</v>
      </c>
    </row>
    <row r="17" spans="1:3" x14ac:dyDescent="0.3">
      <c r="A17" t="s">
        <v>51</v>
      </c>
      <c r="B17" t="s">
        <v>70</v>
      </c>
      <c r="C17">
        <v>-5.28</v>
      </c>
    </row>
    <row r="18" spans="1:3" x14ac:dyDescent="0.3">
      <c r="A18" t="s">
        <v>52</v>
      </c>
      <c r="B18" t="s">
        <v>74</v>
      </c>
      <c r="C18">
        <v>-23.021999999999998</v>
      </c>
    </row>
    <row r="19" spans="1:3" x14ac:dyDescent="0.3">
      <c r="A19" t="s">
        <v>53</v>
      </c>
      <c r="B19" t="s">
        <v>75</v>
      </c>
      <c r="C19">
        <v>-7.0709999999999997</v>
      </c>
    </row>
    <row r="20" spans="1:3" x14ac:dyDescent="0.3">
      <c r="A20" t="s">
        <v>76</v>
      </c>
      <c r="B20" t="s">
        <v>70</v>
      </c>
      <c r="C20">
        <v>-5.28</v>
      </c>
    </row>
    <row r="21" spans="1:3" x14ac:dyDescent="0.3">
      <c r="A21" t="s">
        <v>57</v>
      </c>
      <c r="B21" t="s">
        <v>77</v>
      </c>
      <c r="C21">
        <v>-17.244</v>
      </c>
    </row>
    <row r="22" spans="1:3" x14ac:dyDescent="0.3">
      <c r="A22" t="s">
        <v>58</v>
      </c>
      <c r="B22" t="s">
        <v>73</v>
      </c>
      <c r="C22">
        <v>4.0469999999999997</v>
      </c>
    </row>
    <row r="23" spans="1:3" x14ac:dyDescent="0.3">
      <c r="A23" t="s">
        <v>78</v>
      </c>
      <c r="B23" t="s">
        <v>79</v>
      </c>
      <c r="C23">
        <v>1.2410000000000001</v>
      </c>
    </row>
    <row r="24" spans="1:3" x14ac:dyDescent="0.3">
      <c r="A24" t="s">
        <v>59</v>
      </c>
      <c r="B24" t="s">
        <v>80</v>
      </c>
      <c r="C24">
        <v>0.316</v>
      </c>
    </row>
    <row r="25" spans="1:3" x14ac:dyDescent="0.3">
      <c r="A25" t="s">
        <v>81</v>
      </c>
      <c r="B25" t="s">
        <v>79</v>
      </c>
      <c r="C25">
        <v>1.2410000000000001</v>
      </c>
    </row>
    <row r="28" spans="1:3" x14ac:dyDescent="0.3">
      <c r="A28" t="s">
        <v>83</v>
      </c>
      <c r="B28">
        <v>0</v>
      </c>
    </row>
    <row r="29" spans="1:3" x14ac:dyDescent="0.3">
      <c r="A29" t="s">
        <v>84</v>
      </c>
      <c r="B29">
        <v>-4607.3</v>
      </c>
      <c r="C29" t="s">
        <v>88</v>
      </c>
    </row>
    <row r="30" spans="1:3" x14ac:dyDescent="0.3">
      <c r="A30" t="s">
        <v>85</v>
      </c>
      <c r="B30">
        <v>-4511.7</v>
      </c>
      <c r="C30" t="s">
        <v>88</v>
      </c>
    </row>
    <row r="31" spans="1:3" x14ac:dyDescent="0.3">
      <c r="A31" t="s">
        <v>86</v>
      </c>
      <c r="B31">
        <v>-4665</v>
      </c>
      <c r="C31" t="s">
        <v>88</v>
      </c>
    </row>
    <row r="32" spans="1:3" x14ac:dyDescent="0.3">
      <c r="A32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9F53-745F-4B96-B4C0-82367EC52E72}">
  <dimension ref="A1"/>
  <sheetViews>
    <sheetView tabSelected="1" workbookViewId="0"/>
  </sheetViews>
  <sheetFormatPr defaultRowHeight="14.4" x14ac:dyDescent="0.3"/>
  <cols>
    <col min="1" max="1" width="2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Fe_Doped</vt:lpstr>
      <vt:lpstr>Co_Doped</vt:lpstr>
      <vt:lpstr>Ni_Doped</vt:lpstr>
      <vt:lpstr>G_Calc</vt:lpstr>
      <vt:lpstr>RE_Ni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2024-11-15T05:43:01Z</dcterms:created>
  <dcterms:modified xsi:type="dcterms:W3CDTF">2025-12-25T08:15:21Z</dcterms:modified>
</cp:coreProperties>
</file>